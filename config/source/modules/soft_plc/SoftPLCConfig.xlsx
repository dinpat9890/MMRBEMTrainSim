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RC\MMRBEMTrainSim\trunk\config\source\modules\soft_plc\"/>
    </mc:Choice>
  </mc:AlternateContent>
  <xr:revisionPtr revIDLastSave="0" documentId="13_ncr:1_{C64EE140-26A6-4B53-A6ED-839F5CE27626}" xr6:coauthVersionLast="47" xr6:coauthVersionMax="47" xr10:uidLastSave="{00000000-0000-0000-0000-000000000000}"/>
  <bookViews>
    <workbookView xWindow="28680" yWindow="-120" windowWidth="29040" windowHeight="17640" activeTab="3" xr2:uid="{00000000-000D-0000-FFFF-FFFF00000000}"/>
  </bookViews>
  <sheets>
    <sheet name="Intro" sheetId="4" r:id="rId1"/>
    <sheet name="Rules" sheetId="5" r:id="rId2"/>
    <sheet name="Setup" sheetId="7" r:id="rId3"/>
    <sheet name="SoftPLC tiles" sheetId="8" r:id="rId4"/>
  </sheets>
  <definedNames>
    <definedName name="_xlnm._FilterDatabase" localSheetId="3" hidden="1">'SoftPLC tiles'!$A$1:$Z$284</definedName>
    <definedName name="asdf" localSheetId="2">#REF!</definedName>
    <definedName name="asdf" localSheetId="3">#REF!</definedName>
    <definedName name="asdf">#REF!</definedName>
    <definedName name="Excel_BuiltIn__FilterDatabase_1" localSheetId="2">#REF!</definedName>
    <definedName name="Excel_BuiltIn__FilterDatabase_1" localSheetId="3">#REF!</definedName>
    <definedName name="Excel_BuiltIn__FilterDatabase_1">#REF!</definedName>
    <definedName name="Excel_BuiltIn__FilterDatabase_1_1" localSheetId="2">#REF!</definedName>
    <definedName name="Excel_BuiltIn__FilterDatabase_1_1" localSheetId="3">#REF!</definedName>
    <definedName name="Excel_BuiltIn__FilterDatabase_1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193" i="8" l="1"/>
  <c r="R194" i="8"/>
  <c r="R195" i="8"/>
  <c r="R196" i="8"/>
  <c r="R197" i="8"/>
  <c r="R198" i="8"/>
  <c r="R199" i="8"/>
  <c r="R200" i="8"/>
  <c r="R201" i="8"/>
  <c r="R319" i="8"/>
  <c r="R318" i="8"/>
  <c r="R317" i="8"/>
  <c r="R316" i="8"/>
  <c r="R315" i="8"/>
  <c r="R314" i="8"/>
  <c r="R313" i="8"/>
  <c r="R312" i="8"/>
  <c r="R311" i="8"/>
  <c r="R310" i="8"/>
  <c r="R309" i="8"/>
  <c r="R308" i="8"/>
  <c r="R307" i="8"/>
  <c r="R306" i="8"/>
  <c r="R305" i="8"/>
  <c r="R304" i="8"/>
  <c r="R303" i="8"/>
  <c r="R302" i="8"/>
  <c r="R301" i="8"/>
  <c r="R300" i="8"/>
  <c r="R299" i="8"/>
  <c r="R298" i="8"/>
  <c r="R297" i="8"/>
  <c r="R296" i="8"/>
  <c r="R295" i="8"/>
  <c r="R294" i="8"/>
  <c r="R293" i="8"/>
  <c r="R292" i="8"/>
  <c r="R291" i="8"/>
  <c r="R290" i="8"/>
  <c r="R289" i="8"/>
  <c r="R288" i="8"/>
  <c r="R287" i="8"/>
  <c r="R284" i="8"/>
  <c r="R283" i="8"/>
  <c r="R282" i="8"/>
  <c r="R281" i="8"/>
  <c r="R280" i="8"/>
  <c r="R279" i="8"/>
  <c r="R278" i="8"/>
  <c r="R277" i="8"/>
  <c r="R276" i="8"/>
  <c r="R275" i="8"/>
  <c r="R274" i="8"/>
  <c r="R273" i="8"/>
  <c r="R272" i="8"/>
  <c r="R271" i="8"/>
  <c r="R270" i="8"/>
  <c r="R269" i="8"/>
  <c r="R268" i="8"/>
  <c r="R267" i="8"/>
  <c r="R266" i="8"/>
  <c r="R265" i="8"/>
  <c r="R264" i="8"/>
  <c r="R263" i="8"/>
  <c r="R262" i="8"/>
  <c r="R261" i="8"/>
  <c r="R260" i="8"/>
  <c r="R259" i="8"/>
  <c r="R258" i="8"/>
  <c r="R257" i="8"/>
  <c r="R256" i="8"/>
  <c r="R255" i="8"/>
  <c r="R254" i="8"/>
  <c r="R253" i="8"/>
  <c r="R252" i="8"/>
  <c r="R251" i="8"/>
  <c r="R250" i="8"/>
  <c r="R249" i="8"/>
  <c r="R248" i="8"/>
  <c r="R247" i="8"/>
  <c r="R246" i="8"/>
  <c r="R245" i="8"/>
  <c r="R244" i="8"/>
  <c r="R243" i="8"/>
  <c r="R242" i="8"/>
  <c r="R241" i="8"/>
  <c r="R240" i="8"/>
  <c r="R239" i="8"/>
  <c r="R238" i="8"/>
  <c r="R237" i="8"/>
  <c r="R236" i="8"/>
  <c r="R235" i="8"/>
  <c r="R234" i="8"/>
  <c r="R233" i="8"/>
  <c r="R232" i="8"/>
  <c r="R231" i="8"/>
  <c r="R230" i="8"/>
  <c r="R229" i="8"/>
  <c r="R228" i="8"/>
  <c r="R227" i="8"/>
  <c r="R226" i="8"/>
  <c r="R225" i="8"/>
  <c r="R224" i="8"/>
  <c r="R223" i="8"/>
  <c r="R222" i="8"/>
  <c r="R221" i="8"/>
  <c r="R220" i="8"/>
  <c r="R219" i="8"/>
  <c r="R218" i="8"/>
  <c r="R217" i="8"/>
  <c r="R216" i="8"/>
  <c r="R215" i="8"/>
  <c r="R214" i="8"/>
  <c r="R213" i="8"/>
  <c r="R212" i="8"/>
  <c r="R211" i="8"/>
  <c r="R210" i="8"/>
  <c r="R209" i="8"/>
  <c r="R208" i="8"/>
  <c r="R207" i="8"/>
  <c r="R206" i="8"/>
  <c r="R205" i="8"/>
  <c r="R204" i="8"/>
  <c r="R203" i="8"/>
  <c r="R202" i="8"/>
  <c r="E14" i="8" l="1"/>
  <c r="F50" i="5" l="1"/>
  <c r="E50" i="5"/>
  <c r="F49" i="5"/>
  <c r="E49" i="5"/>
  <c r="F48" i="5"/>
  <c r="E48" i="5"/>
  <c r="F47" i="5"/>
  <c r="E47" i="5"/>
  <c r="F46" i="5"/>
  <c r="E46" i="5"/>
  <c r="F45" i="5"/>
  <c r="E45" i="5"/>
  <c r="F44" i="5"/>
  <c r="F43" i="5"/>
  <c r="F42" i="5"/>
  <c r="F41" i="5"/>
  <c r="F40" i="5"/>
  <c r="F39" i="5"/>
  <c r="F38" i="5"/>
  <c r="F37" i="5"/>
  <c r="F35" i="5"/>
  <c r="C32" i="5"/>
  <c r="D43" i="5" s="1"/>
  <c r="C30" i="5"/>
  <c r="F36" i="5" s="1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B44" i="5" s="1"/>
  <c r="D16" i="5"/>
  <c r="B43" i="5" s="1"/>
  <c r="D15" i="5"/>
  <c r="B42" i="5" s="1"/>
  <c r="D14" i="5"/>
  <c r="B41" i="5" s="1"/>
  <c r="D13" i="5"/>
  <c r="B40" i="5" s="1"/>
  <c r="D12" i="5"/>
  <c r="B39" i="5" s="1"/>
  <c r="D11" i="5"/>
  <c r="B38" i="5" s="1"/>
  <c r="D10" i="5"/>
  <c r="B37" i="5" s="1"/>
  <c r="D7" i="5"/>
  <c r="B35" i="5" s="1"/>
  <c r="D6" i="5"/>
  <c r="B46" i="5" l="1"/>
  <c r="B48" i="5"/>
  <c r="B50" i="5"/>
  <c r="B45" i="5"/>
  <c r="B47" i="5"/>
  <c r="B49" i="5"/>
  <c r="C31" i="5"/>
  <c r="D38" i="5"/>
  <c r="D42" i="5"/>
  <c r="D37" i="5"/>
  <c r="D41" i="5"/>
  <c r="D45" i="5"/>
  <c r="D46" i="5"/>
  <c r="D47" i="5"/>
  <c r="D48" i="5"/>
  <c r="D49" i="5"/>
  <c r="D50" i="5"/>
  <c r="D36" i="5"/>
  <c r="D40" i="5"/>
  <c r="D44" i="5"/>
  <c r="D30" i="5"/>
  <c r="B36" i="5" s="1"/>
  <c r="D35" i="5"/>
  <c r="D39" i="5"/>
</calcChain>
</file>

<file path=xl/sharedStrings.xml><?xml version="1.0" encoding="utf-8"?>
<sst xmlns="http://schemas.openxmlformats.org/spreadsheetml/2006/main" count="4086" uniqueCount="710">
  <si>
    <t>SoftPLCConfig.ini</t>
  </si>
  <si>
    <t>This spreadsheet defines:</t>
  </si>
  <si>
    <t>SoftPLCConfig</t>
  </si>
  <si>
    <t>size</t>
  </si>
  <si>
    <t>Name</t>
  </si>
  <si>
    <t>Include</t>
  </si>
  <si>
    <t>HEADER</t>
  </si>
  <si>
    <t>PARAM</t>
  </si>
  <si>
    <t>Value</t>
  </si>
  <si>
    <t>SOFTPLC</t>
  </si>
  <si>
    <t>RULE</t>
  </si>
  <si>
    <t>SET_PROPERTY</t>
  </si>
  <si>
    <t>tab01</t>
  </si>
  <si>
    <t>Property</t>
  </si>
  <si>
    <t>Section</t>
  </si>
  <si>
    <t>FILE_PROPERTIES</t>
  </si>
  <si>
    <t>Filename</t>
  </si>
  <si>
    <t>label</t>
  </si>
  <si>
    <t>name</t>
  </si>
  <si>
    <t>pos</t>
  </si>
  <si>
    <t>property1</t>
  </si>
  <si>
    <t>value1</t>
  </si>
  <si>
    <t>property2</t>
  </si>
  <si>
    <t>value2</t>
  </si>
  <si>
    <t>property3</t>
  </si>
  <si>
    <t>value3</t>
  </si>
  <si>
    <t>property4</t>
  </si>
  <si>
    <t>value4</t>
  </si>
  <si>
    <t>FILE</t>
  </si>
  <si>
    <t>dummy.xml</t>
  </si>
  <si>
    <t>tab</t>
  </si>
  <si>
    <t>Tab Labels</t>
  </si>
  <si>
    <t>margins</t>
  </si>
  <si>
    <t>parent panel</t>
  </si>
  <si>
    <t>number</t>
  </si>
  <si>
    <t>style</t>
  </si>
  <si>
    <t>type</t>
  </si>
  <si>
    <t>colour</t>
  </si>
  <si>
    <t>Panel</t>
  </si>
  <si>
    <t>Hub Input</t>
  </si>
  <si>
    <t>SectionControl</t>
  </si>
  <si>
    <t>SectionPanel</t>
  </si>
  <si>
    <t>parentpanel</t>
  </si>
  <si>
    <t>initial value</t>
  </si>
  <si>
    <t>For instruction of how to use this spreadsheet, go to:</t>
  </si>
  <si>
    <t>How to construct a Soft PLC</t>
  </si>
  <si>
    <t>row</t>
  </si>
  <si>
    <t>column</t>
  </si>
  <si>
    <t>cell size</t>
  </si>
  <si>
    <t>spacing</t>
  </si>
  <si>
    <t>property5</t>
  </si>
  <si>
    <t>value5</t>
  </si>
  <si>
    <t>property6</t>
  </si>
  <si>
    <t>value6</t>
  </si>
  <si>
    <t>Latching Button</t>
  </si>
  <si>
    <t>Static</t>
  </si>
  <si>
    <t>Slider</t>
  </si>
  <si>
    <t>range</t>
  </si>
  <si>
    <t>tick marks</t>
  </si>
  <si>
    <t>Enumerated Text</t>
  </si>
  <si>
    <t>enumerations</t>
  </si>
  <si>
    <t>on value</t>
  </si>
  <si>
    <t>off value</t>
  </si>
  <si>
    <t>tab02</t>
  </si>
  <si>
    <t>1,1</t>
  </si>
  <si>
    <t>30,10</t>
  </si>
  <si>
    <t>40,99</t>
  </si>
  <si>
    <t>15,20</t>
  </si>
  <si>
    <t>5,5</t>
  </si>
  <si>
    <t>Held Button</t>
  </si>
  <si>
    <t>ind_brake_text</t>
  </si>
  <si>
    <t>100,20</t>
  </si>
  <si>
    <t>mode_selector_label</t>
  </si>
  <si>
    <t>Mode Selector</t>
  </si>
  <si>
    <t>mode_selector</t>
  </si>
  <si>
    <t>mode_selector_text</t>
  </si>
  <si>
    <t>traction_brake_label</t>
  </si>
  <si>
    <t>traction_brake_controller</t>
  </si>
  <si>
    <t>100,-101</t>
  </si>
  <si>
    <t>-101;-100;-75;-50;-25;-1;0;1;25;50;75;100</t>
  </si>
  <si>
    <t>[-101,-101]=EB;[-100,-100]=MaxSB;[-75,-75]=SB75;[-50,-50]=SB50;[-25,-25]=SB25;[-1,-1]=MinSB;[0,0]=Coast;[1,1]=MinTR;[25,25]=TR25;[50,50]=TR50;[75,75]=TR75;[100,100]=MaxTR</t>
  </si>
  <si>
    <t>110,20</t>
  </si>
  <si>
    <t>Traction</t>
  </si>
  <si>
    <t>85,20</t>
  </si>
  <si>
    <t>Min</t>
  </si>
  <si>
    <t>tr_coast</t>
  </si>
  <si>
    <t>tr_min</t>
  </si>
  <si>
    <t>tr_25</t>
  </si>
  <si>
    <t>tr_50</t>
  </si>
  <si>
    <t>tr_75</t>
  </si>
  <si>
    <t>tr_100</t>
  </si>
  <si>
    <t>Coast</t>
  </si>
  <si>
    <t>main_operating_controls_1</t>
  </si>
  <si>
    <t>main_operating_controls_2</t>
  </si>
  <si>
    <t>main_operating_controls_3</t>
  </si>
  <si>
    <t>Braking</t>
  </si>
  <si>
    <t>sb_min</t>
  </si>
  <si>
    <t>sb_25</t>
  </si>
  <si>
    <t>sb_50</t>
  </si>
  <si>
    <t>sb_75</t>
  </si>
  <si>
    <t>sb_100</t>
  </si>
  <si>
    <t>eb</t>
  </si>
  <si>
    <t>Control</t>
  </si>
  <si>
    <t>Emergency</t>
  </si>
  <si>
    <t>Max</t>
  </si>
  <si>
    <t>Soft PLC</t>
  </si>
  <si>
    <t>Window Size X</t>
  </si>
  <si>
    <t>Window Size Y</t>
  </si>
  <si>
    <t>CB Panel</t>
  </si>
  <si>
    <t>Master Control</t>
  </si>
  <si>
    <t>100,25</t>
  </si>
  <si>
    <t>BEMLEMUDesk</t>
  </si>
  <si>
    <t>BEMLEMUCB</t>
  </si>
  <si>
    <t>Driver Desk</t>
  </si>
  <si>
    <t>[0,0]=OFF/UTO;[1,1]=Reverse;[2,2]=Standby;[3,3]=Forward;[4,4]=ATP;[5,5]=ATO</t>
  </si>
  <si>
    <t>0;1;2;3;4;5</t>
  </si>
  <si>
    <t>Control Key</t>
  </si>
  <si>
    <t>Master Controller Handle</t>
  </si>
  <si>
    <t>Deadman Safety Device</t>
  </si>
  <si>
    <t>deadman_safety_device</t>
  </si>
  <si>
    <t>DM</t>
  </si>
  <si>
    <t>TBC</t>
  </si>
  <si>
    <t>Deadman</t>
  </si>
  <si>
    <t>Hub Output</t>
  </si>
  <si>
    <t>Light</t>
  </si>
  <si>
    <t>25,25</t>
  </si>
  <si>
    <t>0,255,0</t>
  </si>
  <si>
    <t>Horn PB</t>
  </si>
  <si>
    <t>horn_pb</t>
  </si>
  <si>
    <t>Cab Console Light PB</t>
  </si>
  <si>
    <t>Cab Console Light</t>
  </si>
  <si>
    <t>cab_console_light_pb</t>
  </si>
  <si>
    <t>cab_console_light</t>
  </si>
  <si>
    <t>emergency_brake_pb</t>
  </si>
  <si>
    <t>Emergency Brake PB</t>
  </si>
  <si>
    <t>Emergency Brake</t>
  </si>
  <si>
    <t>Door Proven Loop Cutout PB</t>
  </si>
  <si>
    <t>Horn PB Lamp</t>
  </si>
  <si>
    <t>Left Door Close PB Operating Panel 1 Lamp</t>
  </si>
  <si>
    <t>Left Door Close PB Operating Panel 1</t>
  </si>
  <si>
    <t>left_door_close_pb_operating_panel_1</t>
  </si>
  <si>
    <t>left_door_close_pb_operating_panel_1_lamp</t>
  </si>
  <si>
    <t>Right Door Close PB Operating Panel 1</t>
  </si>
  <si>
    <t>Right Door Close PB Operating Panel 1 Lamp</t>
  </si>
  <si>
    <t>right_door_close_pb_operating_panel_1</t>
  </si>
  <si>
    <t>right_door_close_pb_operating_panel_1_lamp</t>
  </si>
  <si>
    <t>Left Door Open PB Operating Panel 1</t>
  </si>
  <si>
    <t>Left Door Open PB Operating Panel 1 Lamp</t>
  </si>
  <si>
    <t>left_door_open_pb_operating_panel_1</t>
  </si>
  <si>
    <t>left_door_open_pb_operating_panel_1_lamp</t>
  </si>
  <si>
    <t>right_door_open_pb_operating_panel_1_lamp</t>
  </si>
  <si>
    <t>right_door_open_pb_operating_panel_1</t>
  </si>
  <si>
    <t>Right Door Open PB Operating Panel 1 Lamp</t>
  </si>
  <si>
    <t>Right Door Open PB Operating Panel 1</t>
  </si>
  <si>
    <t>5,0</t>
  </si>
  <si>
    <t>Cab Main Light</t>
  </si>
  <si>
    <t>Cab Main Light PB</t>
  </si>
  <si>
    <t>Parking Brake On Switch Lamp</t>
  </si>
  <si>
    <t>Parking Brake On Switch</t>
  </si>
  <si>
    <t>Parking Brake Off Switch Lamp</t>
  </si>
  <si>
    <t>Parking Brake Off Switch</t>
  </si>
  <si>
    <t>Door Close Announcement PB Lamp</t>
  </si>
  <si>
    <t>Door Close Announcement PB</t>
  </si>
  <si>
    <t>cab_main_light</t>
  </si>
  <si>
    <t>cab_main_light_pb</t>
  </si>
  <si>
    <t>parking_brake_on_switch_lamp</t>
  </si>
  <si>
    <t>parking_brake_on_switch</t>
  </si>
  <si>
    <t>parking_brake_off_switch_lamp</t>
  </si>
  <si>
    <t>parking_brake_off_switch</t>
  </si>
  <si>
    <t>door_close_announcement_pb_lamp</t>
  </si>
  <si>
    <t>door_close_announcement_pb</t>
  </si>
  <si>
    <t>horn_pb_lamp</t>
  </si>
  <si>
    <t>10,10</t>
  </si>
  <si>
    <t>PB On Sw</t>
  </si>
  <si>
    <t>PB Off Sw</t>
  </si>
  <si>
    <t>120,25</t>
  </si>
  <si>
    <t>DP Loop Cutout</t>
  </si>
  <si>
    <t>ROS PB</t>
  </si>
  <si>
    <t>ROS PB Lamp</t>
  </si>
  <si>
    <t>ros_pb</t>
  </si>
  <si>
    <t>ros_pb_lamp</t>
  </si>
  <si>
    <t>UTO PB</t>
  </si>
  <si>
    <t>UTO PB Lamp</t>
  </si>
  <si>
    <t>uto_pb</t>
  </si>
  <si>
    <t>uto_pb_lamp</t>
  </si>
  <si>
    <t>ATO Start PB</t>
  </si>
  <si>
    <t>ATO Start PB Lamp</t>
  </si>
  <si>
    <t>ato_start</t>
  </si>
  <si>
    <t>ato_start_lamp</t>
  </si>
  <si>
    <t>Emergency Brake Reset PB</t>
  </si>
  <si>
    <t>Emergency Brake Reset PB Lamp</t>
  </si>
  <si>
    <t>emergency_brake_reset_pb</t>
  </si>
  <si>
    <t>emergency_brake_reset_pb_lamp</t>
  </si>
  <si>
    <t>EB Reset PB</t>
  </si>
  <si>
    <t>gauges</t>
  </si>
  <si>
    <t>Guages</t>
  </si>
  <si>
    <t>MR Air Gauge MR Pressure</t>
  </si>
  <si>
    <t>BC SR Dual Pressure Gauge BC Pressure</t>
  </si>
  <si>
    <t>BC SR Dual Pressure Gauge SR Pressure</t>
  </si>
  <si>
    <t>mr_air_gauge_mr_pressure</t>
  </si>
  <si>
    <t>bc_sr_dual_pressure_gauge_bc_pressure</t>
  </si>
  <si>
    <t>mr_air_gauge_mr_pressure_label</t>
  </si>
  <si>
    <t>bc_sr_dual_pressure_gauge_bc_pressure_label</t>
  </si>
  <si>
    <t>Static Number</t>
  </si>
  <si>
    <t>format</t>
  </si>
  <si>
    <t>%.1f</t>
  </si>
  <si>
    <t>MR Air Pressure (Pascal)</t>
  </si>
  <si>
    <t>BC Air Pressure (Pascal)</t>
  </si>
  <si>
    <t>SR Air Pressure (Pascal)</t>
  </si>
  <si>
    <t>bc_sr_dual_pressure_gauge_sr_pressure</t>
  </si>
  <si>
    <t>bc_sr_dual_pressure_gauge_sr_pressure_label</t>
  </si>
  <si>
    <t>80,25</t>
  </si>
  <si>
    <t>Trippable Circuit Breaker</t>
  </si>
  <si>
    <t>125,25</t>
  </si>
  <si>
    <t>in number</t>
  </si>
  <si>
    <t>out number</t>
  </si>
  <si>
    <t>initial input value</t>
  </si>
  <si>
    <t>initial output value</t>
  </si>
  <si>
    <t>in type</t>
  </si>
  <si>
    <t>out type</t>
  </si>
  <si>
    <t>EBLR2CB</t>
  </si>
  <si>
    <t>EBMVCB</t>
  </si>
  <si>
    <t>EDCB</t>
  </si>
  <si>
    <t>ELCB1</t>
  </si>
  <si>
    <t>ELCB2</t>
  </si>
  <si>
    <t>ERCB</t>
  </si>
  <si>
    <t>HCB</t>
  </si>
  <si>
    <t>HLLCB</t>
  </si>
  <si>
    <t>HLRCB</t>
  </si>
  <si>
    <t>ILCB1</t>
  </si>
  <si>
    <t>ILCB2</t>
  </si>
  <si>
    <t>LDICB</t>
  </si>
  <si>
    <t>LDLCB</t>
  </si>
  <si>
    <t>LDRCB</t>
  </si>
  <si>
    <t>MLCB</t>
  </si>
  <si>
    <t>MMCB</t>
  </si>
  <si>
    <t>NBCB</t>
  </si>
  <si>
    <t>NVICB</t>
  </si>
  <si>
    <t>OCCB1</t>
  </si>
  <si>
    <t>OCCB2</t>
  </si>
  <si>
    <t>ODDCB</t>
  </si>
  <si>
    <t>PBCB</t>
  </si>
  <si>
    <t>PISCB1</t>
  </si>
  <si>
    <t>PISCB2</t>
  </si>
  <si>
    <t>POCB</t>
  </si>
  <si>
    <t>PPU1CB</t>
  </si>
  <si>
    <t>PPU2CB</t>
  </si>
  <si>
    <t>PPU3CB</t>
  </si>
  <si>
    <t>RIO1CB</t>
  </si>
  <si>
    <t>RIO2CB</t>
  </si>
  <si>
    <t>SIOCB1</t>
  </si>
  <si>
    <t>SIOCB2</t>
  </si>
  <si>
    <t>SSICB</t>
  </si>
  <si>
    <t>TBCCB1</t>
  </si>
  <si>
    <t>TBCCB2</t>
  </si>
  <si>
    <t>TBNCB</t>
  </si>
  <si>
    <t>TDICB</t>
  </si>
  <si>
    <t>TLLCB</t>
  </si>
  <si>
    <t>TLRCB</t>
  </si>
  <si>
    <t>TRIVCB</t>
  </si>
  <si>
    <t>TVDUCB</t>
  </si>
  <si>
    <t>TWVCB</t>
  </si>
  <si>
    <t>VCCB Or UCCB</t>
  </si>
  <si>
    <t>VCBCCB</t>
  </si>
  <si>
    <t>VIO1CB</t>
  </si>
  <si>
    <t>VIO2CB</t>
  </si>
  <si>
    <t>WFLCB</t>
  </si>
  <si>
    <t>WIFICB</t>
  </si>
  <si>
    <t>WWCB</t>
  </si>
  <si>
    <t>BECUCB1</t>
  </si>
  <si>
    <t>BECUCB2</t>
  </si>
  <si>
    <t>BECUCB3</t>
  </si>
  <si>
    <t>RSACB</t>
  </si>
  <si>
    <t>CMCCB</t>
  </si>
  <si>
    <t>CILCB</t>
  </si>
  <si>
    <t>CICB</t>
  </si>
  <si>
    <t>CELCB</t>
  </si>
  <si>
    <t>CECB</t>
  </si>
  <si>
    <t>CDUCB</t>
  </si>
  <si>
    <t>CCNVIO1CB</t>
  </si>
  <si>
    <t>CBTCCB1</t>
  </si>
  <si>
    <t>CBFCCB</t>
  </si>
  <si>
    <t>CBFCB</t>
  </si>
  <si>
    <t>C1CB</t>
  </si>
  <si>
    <t>BLCB</t>
  </si>
  <si>
    <t>ZVBACB</t>
  </si>
  <si>
    <t>DRCB</t>
  </si>
  <si>
    <t>DPLCB</t>
  </si>
  <si>
    <t>DMICB</t>
  </si>
  <si>
    <t>DLCB</t>
  </si>
  <si>
    <t>DIOCB2</t>
  </si>
  <si>
    <t>DIOCB1</t>
  </si>
  <si>
    <t>CSCCB</t>
  </si>
  <si>
    <t>CSBCB</t>
  </si>
  <si>
    <t>CSACB</t>
  </si>
  <si>
    <t>CRSBCB</t>
  </si>
  <si>
    <t>SOCB2</t>
  </si>
  <si>
    <t>SOCB1</t>
  </si>
  <si>
    <t>MSOCB5</t>
  </si>
  <si>
    <t>MSOCB4</t>
  </si>
  <si>
    <t>MSOCB3</t>
  </si>
  <si>
    <t>MSOCB2</t>
  </si>
  <si>
    <t>MSOCB1</t>
  </si>
  <si>
    <t>HVAC1</t>
  </si>
  <si>
    <t>SAC2CCB</t>
  </si>
  <si>
    <t>HVAC2</t>
  </si>
  <si>
    <t>SAC1CCB</t>
  </si>
  <si>
    <t>CMCB</t>
  </si>
  <si>
    <t>AC2CB</t>
  </si>
  <si>
    <t>AC1CB</t>
  </si>
  <si>
    <t>FDSCB</t>
  </si>
  <si>
    <t>BCBCB</t>
  </si>
  <si>
    <t>ERVRCB1</t>
  </si>
  <si>
    <t>ERVRCB2</t>
  </si>
  <si>
    <t>ESKCB</t>
  </si>
  <si>
    <t>HMCB</t>
  </si>
  <si>
    <t>SP1CB</t>
  </si>
  <si>
    <t>SP2CB</t>
  </si>
  <si>
    <t>SP3CB</t>
  </si>
  <si>
    <t>SP4CB</t>
  </si>
  <si>
    <t>SP5CB</t>
  </si>
  <si>
    <t>SPCB6</t>
  </si>
  <si>
    <t>SPCB7</t>
  </si>
  <si>
    <t>SPCB8</t>
  </si>
  <si>
    <t>RPTCB</t>
  </si>
  <si>
    <t>TERCB1</t>
  </si>
  <si>
    <t>TERCB2</t>
  </si>
  <si>
    <t>SPSW</t>
  </si>
  <si>
    <t>SPPB</t>
  </si>
  <si>
    <t>APSCB</t>
  </si>
  <si>
    <t>APSICB</t>
  </si>
  <si>
    <t>BCGCB</t>
  </si>
  <si>
    <t>DSCB</t>
  </si>
  <si>
    <t>MTBMCCB</t>
  </si>
  <si>
    <t>PADCB</t>
  </si>
  <si>
    <t>PANCB</t>
  </si>
  <si>
    <t>SAC1CB</t>
  </si>
  <si>
    <t>SSCB</t>
  </si>
  <si>
    <t>PTCB</t>
  </si>
  <si>
    <t>VCBCB</t>
  </si>
  <si>
    <t>SP12CB</t>
  </si>
  <si>
    <t>MTBM1CB</t>
  </si>
  <si>
    <t>MTBM2CB</t>
  </si>
  <si>
    <t>SP11CB</t>
  </si>
  <si>
    <t>SP6CB</t>
  </si>
  <si>
    <t>MTOPCB</t>
  </si>
  <si>
    <t>ORDCOS</t>
  </si>
  <si>
    <t>ADDCOS</t>
  </si>
  <si>
    <t>eblr2cb</t>
  </si>
  <si>
    <t>ebmvcb</t>
  </si>
  <si>
    <t>edcb</t>
  </si>
  <si>
    <t>elcb1</t>
  </si>
  <si>
    <t>elcb2</t>
  </si>
  <si>
    <t>ercb</t>
  </si>
  <si>
    <t>hcb</t>
  </si>
  <si>
    <t>hllcb</t>
  </si>
  <si>
    <t>hlrcb</t>
  </si>
  <si>
    <t>ilcb1</t>
  </si>
  <si>
    <t>ilcb2</t>
  </si>
  <si>
    <t>ldicb</t>
  </si>
  <si>
    <t>ldlcb</t>
  </si>
  <si>
    <t>ldrcb</t>
  </si>
  <si>
    <t>mlcb</t>
  </si>
  <si>
    <t>mmcb</t>
  </si>
  <si>
    <t>nbcb</t>
  </si>
  <si>
    <t>nvicb</t>
  </si>
  <si>
    <t>occb1</t>
  </si>
  <si>
    <t>occb2</t>
  </si>
  <si>
    <t>oddcb</t>
  </si>
  <si>
    <t>pbcb</t>
  </si>
  <si>
    <t>piscb1</t>
  </si>
  <si>
    <t>piscb2</t>
  </si>
  <si>
    <t>pocb</t>
  </si>
  <si>
    <t>ppu1cb</t>
  </si>
  <si>
    <t>ppu2cb</t>
  </si>
  <si>
    <t>ppu3cb</t>
  </si>
  <si>
    <t>rio1cb</t>
  </si>
  <si>
    <t>rio2cb</t>
  </si>
  <si>
    <t>siocb1</t>
  </si>
  <si>
    <t>siocb2</t>
  </si>
  <si>
    <t>ssicb</t>
  </si>
  <si>
    <t>tbccb1</t>
  </si>
  <si>
    <t>tbccb2</t>
  </si>
  <si>
    <t>tbncb</t>
  </si>
  <si>
    <t>tdicb</t>
  </si>
  <si>
    <t>tllcb</t>
  </si>
  <si>
    <t>tlrcb</t>
  </si>
  <si>
    <t>trivcb</t>
  </si>
  <si>
    <t>tvducb</t>
  </si>
  <si>
    <t>twvcb</t>
  </si>
  <si>
    <t>vccb or uccb</t>
  </si>
  <si>
    <t>vcbccb</t>
  </si>
  <si>
    <t>vio1cb</t>
  </si>
  <si>
    <t>vio2cb</t>
  </si>
  <si>
    <t>wflcb</t>
  </si>
  <si>
    <t>wificb</t>
  </si>
  <si>
    <t>wwcb</t>
  </si>
  <si>
    <t>becucb1</t>
  </si>
  <si>
    <t>becucb2</t>
  </si>
  <si>
    <t>becucb3</t>
  </si>
  <si>
    <t>rsacb</t>
  </si>
  <si>
    <t>cmccb</t>
  </si>
  <si>
    <t>cilcb</t>
  </si>
  <si>
    <t>cicb</t>
  </si>
  <si>
    <t>celcb</t>
  </si>
  <si>
    <t>cecb</t>
  </si>
  <si>
    <t>cducb</t>
  </si>
  <si>
    <t>ccnvio1cb</t>
  </si>
  <si>
    <t>cbtccb1</t>
  </si>
  <si>
    <t>cbfccb</t>
  </si>
  <si>
    <t>cbfcb</t>
  </si>
  <si>
    <t>c1cb</t>
  </si>
  <si>
    <t>blcb</t>
  </si>
  <si>
    <t>zvbacb</t>
  </si>
  <si>
    <t>drcb</t>
  </si>
  <si>
    <t>dplcb</t>
  </si>
  <si>
    <t>dmicb</t>
  </si>
  <si>
    <t>dlcb</t>
  </si>
  <si>
    <t>diocb2</t>
  </si>
  <si>
    <t>diocb1</t>
  </si>
  <si>
    <t>csccb</t>
  </si>
  <si>
    <t>csbcb</t>
  </si>
  <si>
    <t>csacb</t>
  </si>
  <si>
    <t>crsbcb</t>
  </si>
  <si>
    <t>socb2</t>
  </si>
  <si>
    <t>socb1</t>
  </si>
  <si>
    <t>msocb5</t>
  </si>
  <si>
    <t>msocb4</t>
  </si>
  <si>
    <t>msocb3</t>
  </si>
  <si>
    <t>msocb2</t>
  </si>
  <si>
    <t>msocb1</t>
  </si>
  <si>
    <t>hvac1</t>
  </si>
  <si>
    <t>sac2ccb</t>
  </si>
  <si>
    <t>hvac2</t>
  </si>
  <si>
    <t>sac1ccb</t>
  </si>
  <si>
    <t>cmcb</t>
  </si>
  <si>
    <t>ac2cb</t>
  </si>
  <si>
    <t>ac1cb</t>
  </si>
  <si>
    <t>fdscb</t>
  </si>
  <si>
    <t>bcbcb</t>
  </si>
  <si>
    <t>ervrcb1</t>
  </si>
  <si>
    <t>ervrcb2</t>
  </si>
  <si>
    <t>eskcb</t>
  </si>
  <si>
    <t>hmcb</t>
  </si>
  <si>
    <t>sp1cb</t>
  </si>
  <si>
    <t>sp2cb</t>
  </si>
  <si>
    <t>sp3cb</t>
  </si>
  <si>
    <t>sp4cb</t>
  </si>
  <si>
    <t>sp5cb</t>
  </si>
  <si>
    <t>spcb6</t>
  </si>
  <si>
    <t>spcb7</t>
  </si>
  <si>
    <t>spcb8</t>
  </si>
  <si>
    <t>rptcb</t>
  </si>
  <si>
    <t>tercb1</t>
  </si>
  <si>
    <t>tercb2</t>
  </si>
  <si>
    <t>spsw</t>
  </si>
  <si>
    <t>sppb</t>
  </si>
  <si>
    <t>apscb</t>
  </si>
  <si>
    <t>apsicb</t>
  </si>
  <si>
    <t>bcgcb</t>
  </si>
  <si>
    <t>dscb</t>
  </si>
  <si>
    <t>mtbmccb</t>
  </si>
  <si>
    <t>padcb</t>
  </si>
  <si>
    <t>pancb</t>
  </si>
  <si>
    <t>sac1cb</t>
  </si>
  <si>
    <t>sscb</t>
  </si>
  <si>
    <t>ptcb</t>
  </si>
  <si>
    <t>vcbcb</t>
  </si>
  <si>
    <t>sp12cb</t>
  </si>
  <si>
    <t>mtbm1cb</t>
  </si>
  <si>
    <t>mtbm2cb</t>
  </si>
  <si>
    <t>sp11cb</t>
  </si>
  <si>
    <t>sp6cb</t>
  </si>
  <si>
    <t>mtopcb</t>
  </si>
  <si>
    <t>ordcos</t>
  </si>
  <si>
    <t>addcos</t>
  </si>
  <si>
    <t>circuit_breaker_panel_m</t>
  </si>
  <si>
    <t>Circuit Breaker Panel M Car</t>
  </si>
  <si>
    <t>circuit_breaker_panel_dm</t>
  </si>
  <si>
    <t>Circuit Breaker Panel DM Car</t>
  </si>
  <si>
    <t>edb_cubicle_t</t>
  </si>
  <si>
    <t>T Car EDB Cubicle</t>
  </si>
  <si>
    <t>ordcos_label</t>
  </si>
  <si>
    <t>ordcos_text</t>
  </si>
  <si>
    <t>addcos_label</t>
  </si>
  <si>
    <t>addcos_text</t>
  </si>
  <si>
    <t>spsw_label</t>
  </si>
  <si>
    <t>spsw_text</t>
  </si>
  <si>
    <t>0;1</t>
  </si>
  <si>
    <t>[0,0]=Normal;[1,1]=Cutout</t>
  </si>
  <si>
    <t>40,60</t>
  </si>
  <si>
    <t>Modes</t>
  </si>
  <si>
    <t>mode_ato</t>
  </si>
  <si>
    <t>mode_atp</t>
  </si>
  <si>
    <t>mode_rmf</t>
  </si>
  <si>
    <t>mode_standby</t>
  </si>
  <si>
    <t>mode_rmr</t>
  </si>
  <si>
    <t>mode_off</t>
  </si>
  <si>
    <t>OFF/UTO</t>
  </si>
  <si>
    <t>RMR</t>
  </si>
  <si>
    <t>Standby</t>
  </si>
  <si>
    <t>RMF</t>
  </si>
  <si>
    <t>ATP</t>
  </si>
  <si>
    <t>ATO</t>
  </si>
  <si>
    <t>main_operating_controls_4</t>
  </si>
  <si>
    <t>main_operating_controls_5</t>
  </si>
  <si>
    <t>85,25</t>
  </si>
  <si>
    <t>wiper_selector_label</t>
  </si>
  <si>
    <t>wiper_selector</t>
  </si>
  <si>
    <t>wiper_selector_text</t>
  </si>
  <si>
    <t>wiper_control_label</t>
  </si>
  <si>
    <t>wiper_control</t>
  </si>
  <si>
    <t>wiper_control_text</t>
  </si>
  <si>
    <t>Wiper Selection Switch</t>
  </si>
  <si>
    <t>Wiper Control Switch</t>
  </si>
  <si>
    <t>Wiper Selection</t>
  </si>
  <si>
    <t>Wiper Control</t>
  </si>
  <si>
    <t>[0,0]=All;[1,1]=Left;[2,2]=Middle;[3,3]=Right</t>
  </si>
  <si>
    <t>0;1;2;3</t>
  </si>
  <si>
    <t>3,0</t>
  </si>
  <si>
    <t>Call On Light PB</t>
  </si>
  <si>
    <t>Call On Light PB Lamp</t>
  </si>
  <si>
    <t>call_on_light_pb</t>
  </si>
  <si>
    <t>call_on_light_pb_lamp</t>
  </si>
  <si>
    <t>VCB Open PB</t>
  </si>
  <si>
    <t>VCB Open PB Lamp</t>
  </si>
  <si>
    <t>vcb_open_pb</t>
  </si>
  <si>
    <t>vcb_open_pb_lamp</t>
  </si>
  <si>
    <t>VCB Close PB Lamp</t>
  </si>
  <si>
    <t>VCB Close PB</t>
  </si>
  <si>
    <t>vcb_close_pb_lamp</t>
  </si>
  <si>
    <t>vcb_close_pb</t>
  </si>
  <si>
    <t>Panto Up PB</t>
  </si>
  <si>
    <t>Panto Up PB Lamp</t>
  </si>
  <si>
    <t>panto_up_pb</t>
  </si>
  <si>
    <t>panto_up_pb_lamp</t>
  </si>
  <si>
    <t>panto_down_pb_lamp</t>
  </si>
  <si>
    <t>Panto Down PB Lamp</t>
  </si>
  <si>
    <t>Panto Down PB</t>
  </si>
  <si>
    <t>panto_down_pb</t>
  </si>
  <si>
    <t>LIMP Home PB Lamp</t>
  </si>
  <si>
    <t>LIMP Home PB</t>
  </si>
  <si>
    <t>Power Off PB Lamp</t>
  </si>
  <si>
    <t>Power Off PB</t>
  </si>
  <si>
    <t>Left Door Open PB Operating Panel 2 Lamp</t>
  </si>
  <si>
    <t>Left Door Open PB Operating Panel 2</t>
  </si>
  <si>
    <t>Left Door Close PB Operating Panel 2 Lamp</t>
  </si>
  <si>
    <t>Left Door Close PB Operating Panel 2</t>
  </si>
  <si>
    <t>limp_home_pb_lamp</t>
  </si>
  <si>
    <t>limp_home_pb</t>
  </si>
  <si>
    <t>power_off_pb_lamp</t>
  </si>
  <si>
    <t>power_off_pb</t>
  </si>
  <si>
    <t>left_door_open_pb_operating_panel_2_lamp</t>
  </si>
  <si>
    <t>left_door_open_pb_operating_panel_2</t>
  </si>
  <si>
    <t>left_door_close_pb_operating_panel_2</t>
  </si>
  <si>
    <t>left_door_close_pb_operating_panel_2_lamp</t>
  </si>
  <si>
    <t>Safety Cutout SS</t>
  </si>
  <si>
    <t>Brake Loop Cutout SS</t>
  </si>
  <si>
    <t>Panto Selector</t>
  </si>
  <si>
    <t>Deadman Bypass Switch</t>
  </si>
  <si>
    <t>Head Light Switch</t>
  </si>
  <si>
    <t>safety_cutout_ss</t>
  </si>
  <si>
    <t>safety_cutout_ss_text</t>
  </si>
  <si>
    <t>safety_cutout_ss_label</t>
  </si>
  <si>
    <t>brake_loop_cutout_ss</t>
  </si>
  <si>
    <t>brake_loop_cutout_ss_text</t>
  </si>
  <si>
    <t>brake_loop_cutout_ss_label</t>
  </si>
  <si>
    <t>panto_selector</t>
  </si>
  <si>
    <t>panto_selector_text</t>
  </si>
  <si>
    <t>deadman_bypass_switch</t>
  </si>
  <si>
    <t>deadman_bypass_switch_text</t>
  </si>
  <si>
    <t>deadman_bypass_switch_label</t>
  </si>
  <si>
    <t>head_light_switch</t>
  </si>
  <si>
    <t>head_light_switch_text</t>
  </si>
  <si>
    <t>1,0</t>
  </si>
  <si>
    <t>40,75</t>
  </si>
  <si>
    <t>panto_selector_label</t>
  </si>
  <si>
    <t>head_light_switch_label</t>
  </si>
  <si>
    <t>APS Fault Indicator</t>
  </si>
  <si>
    <t>Power Fault Indicator</t>
  </si>
  <si>
    <t>Emergency Brake Indicator</t>
  </si>
  <si>
    <t>VCB Trip Indicator</t>
  </si>
  <si>
    <t>Line Voltage Indicator</t>
  </si>
  <si>
    <t>Parking Brake Indicator</t>
  </si>
  <si>
    <t>All Door Close Indicator</t>
  </si>
  <si>
    <t>HVAC Fault Indicator</t>
  </si>
  <si>
    <t>Saloon Door Close Indicator</t>
  </si>
  <si>
    <t>aps_fault_indicator</t>
  </si>
  <si>
    <t>power_fault_indicator</t>
  </si>
  <si>
    <t>emergency_brake_indicator</t>
  </si>
  <si>
    <t>vcb_trip_indicator</t>
  </si>
  <si>
    <t>line_voltage_indicator</t>
  </si>
  <si>
    <t>parking_brake_indicator</t>
  </si>
  <si>
    <t>all_door_close_indicator</t>
  </si>
  <si>
    <t>hvac_fault_indicator</t>
  </si>
  <si>
    <t>saloon_door_close_indicator</t>
  </si>
  <si>
    <t>saloon_door_close_indicator_label</t>
  </si>
  <si>
    <t>hvac_fault_indicator_label</t>
  </si>
  <si>
    <t>all_door_close_indicator_label</t>
  </si>
  <si>
    <t>parking_brake_indicator_label</t>
  </si>
  <si>
    <t>line_voltage_indicator_label</t>
  </si>
  <si>
    <t>vcb_trip_indicator_label</t>
  </si>
  <si>
    <t>emergency_brake_indicator_label</t>
  </si>
  <si>
    <t>power_fault_indicator_label</t>
  </si>
  <si>
    <t>aps_fault_indicator_label</t>
  </si>
  <si>
    <t>140,25</t>
  </si>
  <si>
    <t>Door Proven Loop Output Switch</t>
  </si>
  <si>
    <t>Hold Door Close Bypass SS</t>
  </si>
  <si>
    <t>Emergency Brake PB Bypass SS</t>
  </si>
  <si>
    <t>Uncouple PB</t>
  </si>
  <si>
    <t>Uncouple PB Lamp</t>
  </si>
  <si>
    <t>uncouple_pb</t>
  </si>
  <si>
    <t>uncouple_pb_lamp</t>
  </si>
  <si>
    <t>Flasher Light PB</t>
  </si>
  <si>
    <t>Flasher Light PB Lamp</t>
  </si>
  <si>
    <t>Flood Light PB</t>
  </si>
  <si>
    <t>Flood Light PB Lamp</t>
  </si>
  <si>
    <t>Battery Reset PB</t>
  </si>
  <si>
    <t>Battery Reset PB Lamp</t>
  </si>
  <si>
    <t>Right Door Open PB Operating Panel 5</t>
  </si>
  <si>
    <t>Right Door Open PB Operating Panel 5 Lamp</t>
  </si>
  <si>
    <t>Right Door Close PB Operating Panel 5</t>
  </si>
  <si>
    <t>Right Door Close PB Operating Panel 5 Lamp</t>
  </si>
  <si>
    <t>door_proven_loop_output_switch</t>
  </si>
  <si>
    <t>door_proven_loop_output_switch_text</t>
  </si>
  <si>
    <t>door_proven_loop_output_switch_label</t>
  </si>
  <si>
    <t>hold_door_close_bypass_ss</t>
  </si>
  <si>
    <t>hold_door_close_bypass_ss_label</t>
  </si>
  <si>
    <t>hold_door_close_bypass_ss_text</t>
  </si>
  <si>
    <t>emergency_brake_pb_bypass_ss</t>
  </si>
  <si>
    <t>emergency_brake_pb_bypass_ss_label</t>
  </si>
  <si>
    <t>emergency_brake_pb_bypass_ss_text</t>
  </si>
  <si>
    <t>flasher_light_pb_lamp</t>
  </si>
  <si>
    <t>flasher_light_pb</t>
  </si>
  <si>
    <t>flood_light_pb_lamp</t>
  </si>
  <si>
    <t>flood_light_pb</t>
  </si>
  <si>
    <t>battery_reset_pb_lamp</t>
  </si>
  <si>
    <t>battery_reset_pb</t>
  </si>
  <si>
    <t>right_door_open_pb_operating_panel_5_lamp</t>
  </si>
  <si>
    <t>right_door_open_pb_operating_panel_5</t>
  </si>
  <si>
    <t>right_door_close_pb_operating_panel_5_lamp</t>
  </si>
  <si>
    <t>right_door_close_pb_operating_panel_5</t>
  </si>
  <si>
    <t>Lamp Test PB Lamp</t>
  </si>
  <si>
    <t>Lamp Test PB</t>
  </si>
  <si>
    <t>WFL Test PB</t>
  </si>
  <si>
    <t>WFL Test PB Lamp</t>
  </si>
  <si>
    <t>Emergency Stop PB</t>
  </si>
  <si>
    <t>lamp_test_pb</t>
  </si>
  <si>
    <t>lamp_test_pb_lamp</t>
  </si>
  <si>
    <t>wfl_test_pb</t>
  </si>
  <si>
    <t>wfl_test_pb_lamp</t>
  </si>
  <si>
    <t>emergency_stop_pb</t>
  </si>
  <si>
    <t>HDC Bypass SS</t>
  </si>
  <si>
    <t>EB Bypass SS</t>
  </si>
  <si>
    <t>2,0</t>
  </si>
  <si>
    <t>0;1;2</t>
  </si>
  <si>
    <t>[0,0]=Normal;[1,1]=HDCB Left;[2,2]=HDCB Right</t>
  </si>
  <si>
    <t>[0,0]=Normal;[1,1]=Bypass</t>
  </si>
  <si>
    <t>15,15</t>
  </si>
  <si>
    <t>5,10</t>
  </si>
  <si>
    <t>L Door Close PB</t>
  </si>
  <si>
    <t>L Door Open PB</t>
  </si>
  <si>
    <t>R Door Close PB</t>
  </si>
  <si>
    <t>R Door Open PB</t>
  </si>
  <si>
    <t>Door Close Ann.</t>
  </si>
  <si>
    <t>5,20</t>
  </si>
  <si>
    <t>15,25</t>
  </si>
  <si>
    <t>5,8</t>
  </si>
  <si>
    <t>DP Loop O/P Sw</t>
  </si>
  <si>
    <t>5,1</t>
  </si>
  <si>
    <t>Safety Cutout</t>
  </si>
  <si>
    <t>Brake Loop Cutout</t>
  </si>
  <si>
    <t>Deadman Bypass Sw</t>
  </si>
  <si>
    <t>Emergency Stop</t>
  </si>
  <si>
    <t>operating_panel_3</t>
  </si>
  <si>
    <t>Operating Panel 3</t>
  </si>
  <si>
    <t>operating_panel_1_a</t>
  </si>
  <si>
    <t>operating_panel_1_b</t>
  </si>
  <si>
    <t>operating_panel_1_c</t>
  </si>
  <si>
    <t>Driver Desk Left OP 2</t>
  </si>
  <si>
    <t>driver_desk_left_op_2</t>
  </si>
  <si>
    <t>driver_desk_left_op_4</t>
  </si>
  <si>
    <t>Driver Desk Left OP 4</t>
  </si>
  <si>
    <t>driver_desk_right_op_5</t>
  </si>
  <si>
    <t>Driver Desk Right OP 5</t>
  </si>
  <si>
    <t>Operating Panel 1 a</t>
  </si>
  <si>
    <t>Operating Panel 1 b</t>
  </si>
  <si>
    <t>Operating Panel 1 c</t>
  </si>
  <si>
    <t>[0,0]=All;[1,1]=Unit3;[2,2]=Unit2;[3,3]=Unit1</t>
  </si>
  <si>
    <t>[0,0]=Off;[1,1]=Low;[2,2]=High</t>
  </si>
  <si>
    <t>P ON/PantoUp PB</t>
  </si>
  <si>
    <t>Other Cab Occupied Indicator</t>
  </si>
  <si>
    <t>other_cab_occupied_indicator</t>
  </si>
  <si>
    <t>other_cab_occupied_indicator_label</t>
  </si>
  <si>
    <t>door_proven_loop_cutout_pb</t>
  </si>
  <si>
    <t>right_door_open_pb_1_operating_panel_5</t>
  </si>
  <si>
    <t>Right Door Open PB 1 Operating Panel 5</t>
  </si>
  <si>
    <t>left_door_open_pb_1_operating_panel_2</t>
  </si>
  <si>
    <t>Left Door Open PB 1 Operating Panel 2</t>
  </si>
  <si>
    <t>L Door Open PB1</t>
  </si>
  <si>
    <t>R Door Open PB1</t>
  </si>
  <si>
    <t>Left Door Open PB 1 Operating Panel 2 Lamp</t>
  </si>
  <si>
    <t>Right Door Open PB 1 Operating Panel 5 Lamp</t>
  </si>
  <si>
    <t>right_door_open_pb_1_operating_panel_5_lamp</t>
  </si>
  <si>
    <t>left_door_open_pb_1_operating_panel_2_lamp</t>
  </si>
  <si>
    <t>eblr1cb</t>
  </si>
  <si>
    <t>EBLR1CB</t>
  </si>
  <si>
    <t>-1;0;1;2</t>
  </si>
  <si>
    <t>[-1,-1]=Park;[0,0]=Off;[1,1]=Low Speed;[2,2]=High Speed</t>
  </si>
  <si>
    <t>2,-1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</si>
</sst>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9C0006"/>
      <name val="Arial"/>
      <family val="2"/>
    </font>
    <font>
      <sz val="11"/>
      <color rgb="FF3F3F76"/>
      <name val="Arial"/>
      <family val="2"/>
    </font>
    <font>
      <sz val="11"/>
      <color rgb="FFFA7D0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10"/>
      <color indexed="22"/>
      <name val="Arial"/>
      <family val="2"/>
    </font>
    <font>
      <u/>
      <sz val="11"/>
      <color theme="10"/>
      <name val="Arial"/>
      <family val="2"/>
    </font>
    <font>
      <u/>
      <sz val="10"/>
      <color indexed="12"/>
      <name val="Arial"/>
      <family val="2"/>
    </font>
    <font>
      <sz val="10"/>
      <color indexed="57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1"/>
      <color indexed="12"/>
      <name val="Arial"/>
      <family val="2"/>
    </font>
    <font>
      <sz val="11"/>
      <color rgb="FF0061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alibri"/>
      <family val="2"/>
      <scheme val="minor"/>
    </font>
    <font>
      <sz val="11"/>
      <color rgb="FF172B4D"/>
      <name val="Segoe UI"/>
      <family val="2"/>
    </font>
    <font>
      <sz val="11"/>
      <color theme="1"/>
      <name val="Courier New"/>
      <family val="3"/>
    </font>
    <font>
      <sz val="10"/>
      <name val="Calibri"/>
      <family val="2"/>
    </font>
    <font>
      <sz val="8"/>
      <name val="Arial"/>
      <family val="2"/>
    </font>
    <font>
      <sz val="10"/>
      <color indexed="8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67">
    <xf numFmtId="0" fontId="0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3" fillId="3" borderId="1" applyNumberFormat="0" applyAlignment="0" applyProtection="0"/>
    <xf numFmtId="0" fontId="4" fillId="0" borderId="2" applyNumberFormat="0" applyFill="0" applyAlignment="0" applyProtection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6" fillId="5" borderId="0" applyNumberFormat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6" fillId="0" borderId="0"/>
    <xf numFmtId="0" fontId="20" fillId="0" borderId="0"/>
    <xf numFmtId="0" fontId="2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21" fillId="0" borderId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" fillId="2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5" fillId="24" borderId="4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6" fillId="25" borderId="5" applyNumberFormat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16" fillId="5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" fillId="3" borderId="1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2" fillId="11" borderId="4" applyNumberFormat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4" fillId="0" borderId="2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6" fillId="27" borderId="10" applyNumberFormat="0" applyFon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5" fillId="24" borderId="11" applyNumberFormat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</cellStyleXfs>
  <cellXfs count="70">
    <xf numFmtId="0" fontId="0" fillId="0" borderId="0" xfId="0"/>
    <xf numFmtId="0" fontId="7" fillId="0" borderId="0" xfId="2" applyAlignment="1" applyProtection="1"/>
    <xf numFmtId="0" fontId="6" fillId="0" borderId="0" xfId="1"/>
    <xf numFmtId="0" fontId="8" fillId="0" borderId="0" xfId="1" applyFont="1"/>
    <xf numFmtId="0" fontId="14" fillId="0" borderId="0" xfId="0" applyFont="1" applyAlignment="1">
      <alignment horizontal="left" wrapText="1"/>
    </xf>
    <xf numFmtId="0" fontId="14" fillId="0" borderId="0" xfId="0" applyFont="1"/>
    <xf numFmtId="0" fontId="14" fillId="0" borderId="3" xfId="0" applyFont="1" applyBorder="1"/>
    <xf numFmtId="0" fontId="5" fillId="0" borderId="0" xfId="0" applyFont="1"/>
    <xf numFmtId="0" fontId="14" fillId="0" borderId="0" xfId="1" applyFont="1"/>
    <xf numFmtId="0" fontId="5" fillId="0" borderId="0" xfId="10" applyFont="1"/>
    <xf numFmtId="0" fontId="0" fillId="0" borderId="3" xfId="0" applyBorder="1"/>
    <xf numFmtId="0" fontId="13" fillId="0" borderId="0" xfId="0" applyFont="1"/>
    <xf numFmtId="49" fontId="14" fillId="0" borderId="0" xfId="0" applyNumberFormat="1" applyFont="1" applyAlignment="1">
      <alignment horizontal="left" wrapText="1"/>
    </xf>
    <xf numFmtId="0" fontId="13" fillId="0" borderId="0" xfId="1" applyFont="1"/>
    <xf numFmtId="0" fontId="15" fillId="0" borderId="0" xfId="2" applyFont="1" applyAlignment="1" applyProtection="1"/>
    <xf numFmtId="0" fontId="0" fillId="0" borderId="0" xfId="10" applyFont="1" applyAlignment="1">
      <alignment horizontal="left"/>
    </xf>
    <xf numFmtId="0" fontId="14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1" fillId="4" borderId="0" xfId="10" applyFill="1"/>
    <xf numFmtId="49" fontId="13" fillId="4" borderId="0" xfId="0" applyNumberFormat="1" applyFont="1" applyFill="1" applyAlignment="1">
      <alignment horizontal="left" wrapText="1"/>
    </xf>
    <xf numFmtId="0" fontId="1" fillId="4" borderId="0" xfId="10" applyFill="1" applyAlignment="1">
      <alignment horizontal="left"/>
    </xf>
    <xf numFmtId="0" fontId="13" fillId="4" borderId="0" xfId="0" applyFont="1" applyFill="1" applyAlignment="1">
      <alignment horizontal="center" wrapText="1"/>
    </xf>
    <xf numFmtId="0" fontId="1" fillId="0" borderId="0" xfId="10" applyAlignment="1">
      <alignment horizontal="left"/>
    </xf>
    <xf numFmtId="0" fontId="0" fillId="4" borderId="0" xfId="0" applyFill="1"/>
    <xf numFmtId="0" fontId="1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4" borderId="0" xfId="0" applyFont="1" applyFill="1" applyAlignment="1">
      <alignment horizontal="left" wrapText="1"/>
    </xf>
    <xf numFmtId="0" fontId="13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wrapText="1"/>
    </xf>
    <xf numFmtId="0" fontId="0" fillId="0" borderId="0" xfId="10" applyFont="1"/>
    <xf numFmtId="0" fontId="0" fillId="4" borderId="0" xfId="10" applyFont="1" applyFill="1"/>
    <xf numFmtId="0" fontId="13" fillId="4" borderId="0" xfId="0" applyFont="1" applyFill="1"/>
    <xf numFmtId="0" fontId="13" fillId="4" borderId="0" xfId="0" applyFont="1" applyFill="1" applyAlignment="1">
      <alignment horizontal="left"/>
    </xf>
    <xf numFmtId="49" fontId="0" fillId="0" borderId="0" xfId="0" applyNumberFormat="1"/>
    <xf numFmtId="49" fontId="13" fillId="0" borderId="0" xfId="0" applyNumberFormat="1" applyFont="1" applyAlignment="1">
      <alignment horizontal="left" wrapText="1"/>
    </xf>
    <xf numFmtId="0" fontId="0" fillId="0" borderId="0" xfId="0" quotePrefix="1" applyAlignment="1">
      <alignment horizontal="left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4" borderId="0" xfId="0" applyFont="1" applyFill="1" applyAlignment="1">
      <alignment horizontal="left"/>
    </xf>
    <xf numFmtId="3" fontId="13" fillId="0" borderId="0" xfId="0" applyNumberFormat="1" applyFont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quotePrefix="1"/>
    <xf numFmtId="0" fontId="14" fillId="0" borderId="13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0" fillId="0" borderId="13" xfId="0" applyBorder="1"/>
    <xf numFmtId="0" fontId="13" fillId="0" borderId="13" xfId="0" applyFont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9" fontId="0" fillId="0" borderId="0" xfId="0" applyNumberFormat="1" applyAlignment="1">
      <alignment horizontal="left"/>
    </xf>
    <xf numFmtId="0" fontId="42" fillId="28" borderId="14" xfId="1" applyFont="1" applyFill="1" applyBorder="1" applyProtection="1">
      <protection locked="0"/>
    </xf>
    <xf numFmtId="0" fontId="1" fillId="0" borderId="0" xfId="10"/>
    <xf numFmtId="0" fontId="42" fillId="28" borderId="0" xfId="1" applyFont="1" applyFill="1" applyProtection="1">
      <protection locked="0"/>
    </xf>
    <xf numFmtId="0" fontId="13" fillId="0" borderId="0" xfId="10" applyFont="1"/>
    <xf numFmtId="0" fontId="13" fillId="0" borderId="0" xfId="10" applyFont="1" applyAlignment="1">
      <alignment horizontal="left"/>
    </xf>
    <xf numFmtId="0" fontId="1" fillId="0" borderId="0" xfId="10" applyAlignment="1">
      <alignment horizontal="center" vertical="center"/>
    </xf>
    <xf numFmtId="0" fontId="1" fillId="0" borderId="0" xfId="10" applyAlignment="1">
      <alignment horizontal="center"/>
    </xf>
    <xf numFmtId="49" fontId="1" fillId="0" borderId="0" xfId="10" applyNumberFormat="1"/>
    <xf numFmtId="0" fontId="1" fillId="0" borderId="13" xfId="10" applyBorder="1"/>
    <xf numFmtId="0" fontId="14" fillId="0" borderId="0" xfId="10" applyFont="1" applyAlignment="1">
      <alignment horizontal="left"/>
    </xf>
    <xf numFmtId="0" fontId="13" fillId="0" borderId="0" xfId="10" applyFont="1" applyAlignment="1">
      <alignment horizontal="left" wrapText="1"/>
    </xf>
    <xf numFmtId="0" fontId="13" fillId="0" borderId="0" xfId="10" applyFont="1" applyAlignment="1">
      <alignment horizontal="center" vertical="center" wrapText="1"/>
    </xf>
    <xf numFmtId="49" fontId="13" fillId="0" borderId="0" xfId="10" applyNumberFormat="1" applyFont="1" applyAlignment="1">
      <alignment horizontal="left" wrapText="1"/>
    </xf>
    <xf numFmtId="0" fontId="13" fillId="0" borderId="13" xfId="10" applyFont="1" applyBorder="1" applyAlignment="1">
      <alignment horizontal="left"/>
    </xf>
    <xf numFmtId="0" fontId="41" fillId="0" borderId="0" xfId="10" applyFont="1"/>
    <xf numFmtId="0" fontId="13" fillId="4" borderId="13" xfId="0" applyFont="1" applyFill="1" applyBorder="1" applyAlignment="1">
      <alignment horizontal="left"/>
    </xf>
    <xf numFmtId="0" fontId="39" fillId="29" borderId="14" xfId="0" applyFont="1" applyFill="1" applyBorder="1"/>
    <xf numFmtId="0" fontId="44" fillId="29" borderId="14" xfId="0" applyFont="1" applyFill="1" applyBorder="1" applyProtection="1">
      <protection locked="0"/>
    </xf>
    <xf numFmtId="0" fontId="42" fillId="29" borderId="15" xfId="0" applyFont="1" applyFill="1" applyBorder="1" applyProtection="1">
      <protection locked="0"/>
    </xf>
  </cellXfs>
  <cellStyles count="2367">
    <cellStyle name="20% - Accent1 10" xfId="35" xr:uid="{00000000-0005-0000-0000-000000000000}"/>
    <cellStyle name="20% - Accent1 10 2" xfId="36" xr:uid="{00000000-0005-0000-0000-000001000000}"/>
    <cellStyle name="20% - Accent1 10 3" xfId="37" xr:uid="{00000000-0005-0000-0000-000002000000}"/>
    <cellStyle name="20% - Accent1 10 4" xfId="38" xr:uid="{00000000-0005-0000-0000-000003000000}"/>
    <cellStyle name="20% - Accent1 10 5" xfId="39" xr:uid="{00000000-0005-0000-0000-000004000000}"/>
    <cellStyle name="20% - Accent1 10 6" xfId="40" xr:uid="{00000000-0005-0000-0000-000005000000}"/>
    <cellStyle name="20% - Accent1 11" xfId="41" xr:uid="{00000000-0005-0000-0000-000006000000}"/>
    <cellStyle name="20% - Accent1 11 2" xfId="42" xr:uid="{00000000-0005-0000-0000-000007000000}"/>
    <cellStyle name="20% - Accent1 11 3" xfId="43" xr:uid="{00000000-0005-0000-0000-000008000000}"/>
    <cellStyle name="20% - Accent1 11 4" xfId="44" xr:uid="{00000000-0005-0000-0000-000009000000}"/>
    <cellStyle name="20% - Accent1 11 5" xfId="45" xr:uid="{00000000-0005-0000-0000-00000A000000}"/>
    <cellStyle name="20% - Accent1 11 6" xfId="46" xr:uid="{00000000-0005-0000-0000-00000B000000}"/>
    <cellStyle name="20% - Accent1 12" xfId="47" xr:uid="{00000000-0005-0000-0000-00000C000000}"/>
    <cellStyle name="20% - Accent1 12 2" xfId="48" xr:uid="{00000000-0005-0000-0000-00000D000000}"/>
    <cellStyle name="20% - Accent1 12 3" xfId="49" xr:uid="{00000000-0005-0000-0000-00000E000000}"/>
    <cellStyle name="20% - Accent1 12 4" xfId="50" xr:uid="{00000000-0005-0000-0000-00000F000000}"/>
    <cellStyle name="20% - Accent1 12 5" xfId="51" xr:uid="{00000000-0005-0000-0000-000010000000}"/>
    <cellStyle name="20% - Accent1 12 6" xfId="52" xr:uid="{00000000-0005-0000-0000-000011000000}"/>
    <cellStyle name="20% - Accent1 13" xfId="53" xr:uid="{00000000-0005-0000-0000-000012000000}"/>
    <cellStyle name="20% - Accent1 13 2" xfId="54" xr:uid="{00000000-0005-0000-0000-000013000000}"/>
    <cellStyle name="20% - Accent1 13 3" xfId="55" xr:uid="{00000000-0005-0000-0000-000014000000}"/>
    <cellStyle name="20% - Accent1 13 4" xfId="56" xr:uid="{00000000-0005-0000-0000-000015000000}"/>
    <cellStyle name="20% - Accent1 13 5" xfId="57" xr:uid="{00000000-0005-0000-0000-000016000000}"/>
    <cellStyle name="20% - Accent1 13 6" xfId="58" xr:uid="{00000000-0005-0000-0000-000017000000}"/>
    <cellStyle name="20% - Accent1 14" xfId="59" xr:uid="{00000000-0005-0000-0000-000018000000}"/>
    <cellStyle name="20% - Accent1 14 2" xfId="60" xr:uid="{00000000-0005-0000-0000-000019000000}"/>
    <cellStyle name="20% - Accent1 15" xfId="61" xr:uid="{00000000-0005-0000-0000-00001A000000}"/>
    <cellStyle name="20% - Accent1 15 2" xfId="62" xr:uid="{00000000-0005-0000-0000-00001B000000}"/>
    <cellStyle name="20% - Accent1 16" xfId="63" xr:uid="{00000000-0005-0000-0000-00001C000000}"/>
    <cellStyle name="20% - Accent1 17" xfId="64" xr:uid="{00000000-0005-0000-0000-00001D000000}"/>
    <cellStyle name="20% - Accent1 2" xfId="65" xr:uid="{00000000-0005-0000-0000-00001E000000}"/>
    <cellStyle name="20% - Accent1 2 10" xfId="66" xr:uid="{00000000-0005-0000-0000-00001F000000}"/>
    <cellStyle name="20% - Accent1 2 11" xfId="67" xr:uid="{00000000-0005-0000-0000-000020000000}"/>
    <cellStyle name="20% - Accent1 2 12" xfId="68" xr:uid="{00000000-0005-0000-0000-000021000000}"/>
    <cellStyle name="20% - Accent1 2 13" xfId="69" xr:uid="{00000000-0005-0000-0000-000022000000}"/>
    <cellStyle name="20% - Accent1 2 2" xfId="70" xr:uid="{00000000-0005-0000-0000-000023000000}"/>
    <cellStyle name="20% - Accent1 2 3" xfId="71" xr:uid="{00000000-0005-0000-0000-000024000000}"/>
    <cellStyle name="20% - Accent1 2 4" xfId="72" xr:uid="{00000000-0005-0000-0000-000025000000}"/>
    <cellStyle name="20% - Accent1 2 5" xfId="73" xr:uid="{00000000-0005-0000-0000-000026000000}"/>
    <cellStyle name="20% - Accent1 2 6" xfId="74" xr:uid="{00000000-0005-0000-0000-000027000000}"/>
    <cellStyle name="20% - Accent1 2 7" xfId="75" xr:uid="{00000000-0005-0000-0000-000028000000}"/>
    <cellStyle name="20% - Accent1 2 8" xfId="76" xr:uid="{00000000-0005-0000-0000-000029000000}"/>
    <cellStyle name="20% - Accent1 2 9" xfId="77" xr:uid="{00000000-0005-0000-0000-00002A000000}"/>
    <cellStyle name="20% - Accent1 3" xfId="78" xr:uid="{00000000-0005-0000-0000-00002B000000}"/>
    <cellStyle name="20% - Accent1 4" xfId="79" xr:uid="{00000000-0005-0000-0000-00002C000000}"/>
    <cellStyle name="20% - Accent1 5" xfId="80" xr:uid="{00000000-0005-0000-0000-00002D000000}"/>
    <cellStyle name="20% - Accent1 6" xfId="81" xr:uid="{00000000-0005-0000-0000-00002E000000}"/>
    <cellStyle name="20% - Accent1 7" xfId="82" xr:uid="{00000000-0005-0000-0000-00002F000000}"/>
    <cellStyle name="20% - Accent1 8" xfId="83" xr:uid="{00000000-0005-0000-0000-000030000000}"/>
    <cellStyle name="20% - Accent1 8 2" xfId="84" xr:uid="{00000000-0005-0000-0000-000031000000}"/>
    <cellStyle name="20% - Accent1 8 3" xfId="85" xr:uid="{00000000-0005-0000-0000-000032000000}"/>
    <cellStyle name="20% - Accent1 8 4" xfId="86" xr:uid="{00000000-0005-0000-0000-000033000000}"/>
    <cellStyle name="20% - Accent1 8 5" xfId="87" xr:uid="{00000000-0005-0000-0000-000034000000}"/>
    <cellStyle name="20% - Accent1 8 6" xfId="88" xr:uid="{00000000-0005-0000-0000-000035000000}"/>
    <cellStyle name="20% - Accent1 9" xfId="89" xr:uid="{00000000-0005-0000-0000-000036000000}"/>
    <cellStyle name="20% - Accent1 9 2" xfId="90" xr:uid="{00000000-0005-0000-0000-000037000000}"/>
    <cellStyle name="20% - Accent1 9 3" xfId="91" xr:uid="{00000000-0005-0000-0000-000038000000}"/>
    <cellStyle name="20% - Accent2 10" xfId="92" xr:uid="{00000000-0005-0000-0000-000039000000}"/>
    <cellStyle name="20% - Accent2 11" xfId="93" xr:uid="{00000000-0005-0000-0000-00003A000000}"/>
    <cellStyle name="20% - Accent2 11 2" xfId="94" xr:uid="{00000000-0005-0000-0000-00003B000000}"/>
    <cellStyle name="20% - Accent2 11 3" xfId="95" xr:uid="{00000000-0005-0000-0000-00003C000000}"/>
    <cellStyle name="20% - Accent2 11 4" xfId="96" xr:uid="{00000000-0005-0000-0000-00003D000000}"/>
    <cellStyle name="20% - Accent2 11 5" xfId="97" xr:uid="{00000000-0005-0000-0000-00003E000000}"/>
    <cellStyle name="20% - Accent2 11 6" xfId="98" xr:uid="{00000000-0005-0000-0000-00003F000000}"/>
    <cellStyle name="20% - Accent2 12" xfId="99" xr:uid="{00000000-0005-0000-0000-000040000000}"/>
    <cellStyle name="20% - Accent2 12 2" xfId="100" xr:uid="{00000000-0005-0000-0000-000041000000}"/>
    <cellStyle name="20% - Accent2 12 3" xfId="101" xr:uid="{00000000-0005-0000-0000-000042000000}"/>
    <cellStyle name="20% - Accent2 12 4" xfId="102" xr:uid="{00000000-0005-0000-0000-000043000000}"/>
    <cellStyle name="20% - Accent2 12 5" xfId="103" xr:uid="{00000000-0005-0000-0000-000044000000}"/>
    <cellStyle name="20% - Accent2 12 6" xfId="104" xr:uid="{00000000-0005-0000-0000-000045000000}"/>
    <cellStyle name="20% - Accent2 13" xfId="105" xr:uid="{00000000-0005-0000-0000-000046000000}"/>
    <cellStyle name="20% - Accent2 13 2" xfId="106" xr:uid="{00000000-0005-0000-0000-000047000000}"/>
    <cellStyle name="20% - Accent2 13 3" xfId="107" xr:uid="{00000000-0005-0000-0000-000048000000}"/>
    <cellStyle name="20% - Accent2 13 4" xfId="108" xr:uid="{00000000-0005-0000-0000-000049000000}"/>
    <cellStyle name="20% - Accent2 13 5" xfId="109" xr:uid="{00000000-0005-0000-0000-00004A000000}"/>
    <cellStyle name="20% - Accent2 13 6" xfId="110" xr:uid="{00000000-0005-0000-0000-00004B000000}"/>
    <cellStyle name="20% - Accent2 14" xfId="111" xr:uid="{00000000-0005-0000-0000-00004C000000}"/>
    <cellStyle name="20% - Accent2 14 2" xfId="112" xr:uid="{00000000-0005-0000-0000-00004D000000}"/>
    <cellStyle name="20% - Accent2 15" xfId="113" xr:uid="{00000000-0005-0000-0000-00004E000000}"/>
    <cellStyle name="20% - Accent2 15 2" xfId="114" xr:uid="{00000000-0005-0000-0000-00004F000000}"/>
    <cellStyle name="20% - Accent2 16" xfId="115" xr:uid="{00000000-0005-0000-0000-000050000000}"/>
    <cellStyle name="20% - Accent2 17" xfId="116" xr:uid="{00000000-0005-0000-0000-000051000000}"/>
    <cellStyle name="20% - Accent2 2" xfId="117" xr:uid="{00000000-0005-0000-0000-000052000000}"/>
    <cellStyle name="20% - Accent2 2 10" xfId="118" xr:uid="{00000000-0005-0000-0000-000053000000}"/>
    <cellStyle name="20% - Accent2 2 11" xfId="119" xr:uid="{00000000-0005-0000-0000-000054000000}"/>
    <cellStyle name="20% - Accent2 2 12" xfId="120" xr:uid="{00000000-0005-0000-0000-000055000000}"/>
    <cellStyle name="20% - Accent2 2 13" xfId="121" xr:uid="{00000000-0005-0000-0000-000056000000}"/>
    <cellStyle name="20% - Accent2 2 2" xfId="122" xr:uid="{00000000-0005-0000-0000-000057000000}"/>
    <cellStyle name="20% - Accent2 2 3" xfId="123" xr:uid="{00000000-0005-0000-0000-000058000000}"/>
    <cellStyle name="20% - Accent2 2 4" xfId="124" xr:uid="{00000000-0005-0000-0000-000059000000}"/>
    <cellStyle name="20% - Accent2 2 5" xfId="125" xr:uid="{00000000-0005-0000-0000-00005A000000}"/>
    <cellStyle name="20% - Accent2 2 6" xfId="126" xr:uid="{00000000-0005-0000-0000-00005B000000}"/>
    <cellStyle name="20% - Accent2 2 7" xfId="127" xr:uid="{00000000-0005-0000-0000-00005C000000}"/>
    <cellStyle name="20% - Accent2 2 8" xfId="128" xr:uid="{00000000-0005-0000-0000-00005D000000}"/>
    <cellStyle name="20% - Accent2 2 9" xfId="129" xr:uid="{00000000-0005-0000-0000-00005E000000}"/>
    <cellStyle name="20% - Accent2 3" xfId="130" xr:uid="{00000000-0005-0000-0000-00005F000000}"/>
    <cellStyle name="20% - Accent2 4" xfId="131" xr:uid="{00000000-0005-0000-0000-000060000000}"/>
    <cellStyle name="20% - Accent2 5" xfId="132" xr:uid="{00000000-0005-0000-0000-000061000000}"/>
    <cellStyle name="20% - Accent2 6" xfId="133" xr:uid="{00000000-0005-0000-0000-000062000000}"/>
    <cellStyle name="20% - Accent2 7" xfId="134" xr:uid="{00000000-0005-0000-0000-000063000000}"/>
    <cellStyle name="20% - Accent2 8" xfId="135" xr:uid="{00000000-0005-0000-0000-000064000000}"/>
    <cellStyle name="20% - Accent2 8 2" xfId="136" xr:uid="{00000000-0005-0000-0000-000065000000}"/>
    <cellStyle name="20% - Accent2 8 3" xfId="137" xr:uid="{00000000-0005-0000-0000-000066000000}"/>
    <cellStyle name="20% - Accent2 8 4" xfId="138" xr:uid="{00000000-0005-0000-0000-000067000000}"/>
    <cellStyle name="20% - Accent2 8 5" xfId="139" xr:uid="{00000000-0005-0000-0000-000068000000}"/>
    <cellStyle name="20% - Accent2 8 6" xfId="140" xr:uid="{00000000-0005-0000-0000-000069000000}"/>
    <cellStyle name="20% - Accent2 9" xfId="141" xr:uid="{00000000-0005-0000-0000-00006A000000}"/>
    <cellStyle name="20% - Accent2 9 2" xfId="142" xr:uid="{00000000-0005-0000-0000-00006B000000}"/>
    <cellStyle name="20% - Accent2 9 3" xfId="143" xr:uid="{00000000-0005-0000-0000-00006C000000}"/>
    <cellStyle name="20% - Accent2 9 4" xfId="144" xr:uid="{00000000-0005-0000-0000-00006D000000}"/>
    <cellStyle name="20% - Accent2 9 5" xfId="145" xr:uid="{00000000-0005-0000-0000-00006E000000}"/>
    <cellStyle name="20% - Accent2 9 6" xfId="146" xr:uid="{00000000-0005-0000-0000-00006F000000}"/>
    <cellStyle name="20% - Accent3 10" xfId="147" xr:uid="{00000000-0005-0000-0000-000070000000}"/>
    <cellStyle name="20% - Accent3 10 2" xfId="148" xr:uid="{00000000-0005-0000-0000-000071000000}"/>
    <cellStyle name="20% - Accent3 10 3" xfId="149" xr:uid="{00000000-0005-0000-0000-000072000000}"/>
    <cellStyle name="20% - Accent3 10 4" xfId="150" xr:uid="{00000000-0005-0000-0000-000073000000}"/>
    <cellStyle name="20% - Accent3 10 5" xfId="151" xr:uid="{00000000-0005-0000-0000-000074000000}"/>
    <cellStyle name="20% - Accent3 10 6" xfId="152" xr:uid="{00000000-0005-0000-0000-000075000000}"/>
    <cellStyle name="20% - Accent3 11" xfId="153" xr:uid="{00000000-0005-0000-0000-000076000000}"/>
    <cellStyle name="20% - Accent3 11 2" xfId="154" xr:uid="{00000000-0005-0000-0000-000077000000}"/>
    <cellStyle name="20% - Accent3 11 3" xfId="155" xr:uid="{00000000-0005-0000-0000-000078000000}"/>
    <cellStyle name="20% - Accent3 11 4" xfId="156" xr:uid="{00000000-0005-0000-0000-000079000000}"/>
    <cellStyle name="20% - Accent3 11 5" xfId="157" xr:uid="{00000000-0005-0000-0000-00007A000000}"/>
    <cellStyle name="20% - Accent3 11 6" xfId="158" xr:uid="{00000000-0005-0000-0000-00007B000000}"/>
    <cellStyle name="20% - Accent3 12" xfId="159" xr:uid="{00000000-0005-0000-0000-00007C000000}"/>
    <cellStyle name="20% - Accent3 12 2" xfId="160" xr:uid="{00000000-0005-0000-0000-00007D000000}"/>
    <cellStyle name="20% - Accent3 12 3" xfId="161" xr:uid="{00000000-0005-0000-0000-00007E000000}"/>
    <cellStyle name="20% - Accent3 12 4" xfId="162" xr:uid="{00000000-0005-0000-0000-00007F000000}"/>
    <cellStyle name="20% - Accent3 13" xfId="163" xr:uid="{00000000-0005-0000-0000-000080000000}"/>
    <cellStyle name="20% - Accent3 13 2" xfId="164" xr:uid="{00000000-0005-0000-0000-000081000000}"/>
    <cellStyle name="20% - Accent3 2" xfId="165" xr:uid="{00000000-0005-0000-0000-000082000000}"/>
    <cellStyle name="20% - Accent3 2 10" xfId="166" xr:uid="{00000000-0005-0000-0000-000083000000}"/>
    <cellStyle name="20% - Accent3 2 11" xfId="167" xr:uid="{00000000-0005-0000-0000-000084000000}"/>
    <cellStyle name="20% - Accent3 2 12" xfId="168" xr:uid="{00000000-0005-0000-0000-000085000000}"/>
    <cellStyle name="20% - Accent3 2 13" xfId="169" xr:uid="{00000000-0005-0000-0000-000086000000}"/>
    <cellStyle name="20% - Accent3 2 2" xfId="170" xr:uid="{00000000-0005-0000-0000-000087000000}"/>
    <cellStyle name="20% - Accent3 2 3" xfId="171" xr:uid="{00000000-0005-0000-0000-000088000000}"/>
    <cellStyle name="20% - Accent3 2 4" xfId="172" xr:uid="{00000000-0005-0000-0000-000089000000}"/>
    <cellStyle name="20% - Accent3 2 5" xfId="173" xr:uid="{00000000-0005-0000-0000-00008A000000}"/>
    <cellStyle name="20% - Accent3 2 6" xfId="174" xr:uid="{00000000-0005-0000-0000-00008B000000}"/>
    <cellStyle name="20% - Accent3 2 7" xfId="175" xr:uid="{00000000-0005-0000-0000-00008C000000}"/>
    <cellStyle name="20% - Accent3 2 8" xfId="176" xr:uid="{00000000-0005-0000-0000-00008D000000}"/>
    <cellStyle name="20% - Accent3 2 9" xfId="177" xr:uid="{00000000-0005-0000-0000-00008E000000}"/>
    <cellStyle name="20% - Accent3 3" xfId="178" xr:uid="{00000000-0005-0000-0000-00008F000000}"/>
    <cellStyle name="20% - Accent3 4" xfId="179" xr:uid="{00000000-0005-0000-0000-000090000000}"/>
    <cellStyle name="20% - Accent3 5" xfId="180" xr:uid="{00000000-0005-0000-0000-000091000000}"/>
    <cellStyle name="20% - Accent3 6" xfId="181" xr:uid="{00000000-0005-0000-0000-000092000000}"/>
    <cellStyle name="20% - Accent3 7" xfId="182" xr:uid="{00000000-0005-0000-0000-000093000000}"/>
    <cellStyle name="20% - Accent3 8" xfId="183" xr:uid="{00000000-0005-0000-0000-000094000000}"/>
    <cellStyle name="20% - Accent3 8 2" xfId="184" xr:uid="{00000000-0005-0000-0000-000095000000}"/>
    <cellStyle name="20% - Accent3 8 3" xfId="185" xr:uid="{00000000-0005-0000-0000-000096000000}"/>
    <cellStyle name="20% - Accent3 8 4" xfId="186" xr:uid="{00000000-0005-0000-0000-000097000000}"/>
    <cellStyle name="20% - Accent3 8 5" xfId="187" xr:uid="{00000000-0005-0000-0000-000098000000}"/>
    <cellStyle name="20% - Accent3 8 6" xfId="188" xr:uid="{00000000-0005-0000-0000-000099000000}"/>
    <cellStyle name="20% - Accent3 9" xfId="189" xr:uid="{00000000-0005-0000-0000-00009A000000}"/>
    <cellStyle name="20% - Accent3 9 2" xfId="190" xr:uid="{00000000-0005-0000-0000-00009B000000}"/>
    <cellStyle name="20% - Accent3 9 3" xfId="191" xr:uid="{00000000-0005-0000-0000-00009C000000}"/>
    <cellStyle name="20% - Accent3 9 4" xfId="192" xr:uid="{00000000-0005-0000-0000-00009D000000}"/>
    <cellStyle name="20% - Accent3 9 5" xfId="193" xr:uid="{00000000-0005-0000-0000-00009E000000}"/>
    <cellStyle name="20% - Accent3 9 6" xfId="194" xr:uid="{00000000-0005-0000-0000-00009F000000}"/>
    <cellStyle name="20% - Accent4 10" xfId="195" xr:uid="{00000000-0005-0000-0000-0000A0000000}"/>
    <cellStyle name="20% - Accent4 10 2" xfId="196" xr:uid="{00000000-0005-0000-0000-0000A1000000}"/>
    <cellStyle name="20% - Accent4 10 3" xfId="197" xr:uid="{00000000-0005-0000-0000-0000A2000000}"/>
    <cellStyle name="20% - Accent4 10 4" xfId="198" xr:uid="{00000000-0005-0000-0000-0000A3000000}"/>
    <cellStyle name="20% - Accent4 10 5" xfId="199" xr:uid="{00000000-0005-0000-0000-0000A4000000}"/>
    <cellStyle name="20% - Accent4 10 6" xfId="200" xr:uid="{00000000-0005-0000-0000-0000A5000000}"/>
    <cellStyle name="20% - Accent4 11" xfId="201" xr:uid="{00000000-0005-0000-0000-0000A6000000}"/>
    <cellStyle name="20% - Accent4 11 2" xfId="202" xr:uid="{00000000-0005-0000-0000-0000A7000000}"/>
    <cellStyle name="20% - Accent4 11 3" xfId="203" xr:uid="{00000000-0005-0000-0000-0000A8000000}"/>
    <cellStyle name="20% - Accent4 11 4" xfId="204" xr:uid="{00000000-0005-0000-0000-0000A9000000}"/>
    <cellStyle name="20% - Accent4 11 5" xfId="205" xr:uid="{00000000-0005-0000-0000-0000AA000000}"/>
    <cellStyle name="20% - Accent4 11 6" xfId="206" xr:uid="{00000000-0005-0000-0000-0000AB000000}"/>
    <cellStyle name="20% - Accent4 12" xfId="207" xr:uid="{00000000-0005-0000-0000-0000AC000000}"/>
    <cellStyle name="20% - Accent4 12 2" xfId="208" xr:uid="{00000000-0005-0000-0000-0000AD000000}"/>
    <cellStyle name="20% - Accent4 12 3" xfId="209" xr:uid="{00000000-0005-0000-0000-0000AE000000}"/>
    <cellStyle name="20% - Accent4 12 4" xfId="210" xr:uid="{00000000-0005-0000-0000-0000AF000000}"/>
    <cellStyle name="20% - Accent4 12 5" xfId="211" xr:uid="{00000000-0005-0000-0000-0000B0000000}"/>
    <cellStyle name="20% - Accent4 12 6" xfId="212" xr:uid="{00000000-0005-0000-0000-0000B1000000}"/>
    <cellStyle name="20% - Accent4 13" xfId="213" xr:uid="{00000000-0005-0000-0000-0000B2000000}"/>
    <cellStyle name="20% - Accent4 13 2" xfId="214" xr:uid="{00000000-0005-0000-0000-0000B3000000}"/>
    <cellStyle name="20% - Accent4 13 3" xfId="215" xr:uid="{00000000-0005-0000-0000-0000B4000000}"/>
    <cellStyle name="20% - Accent4 13 4" xfId="216" xr:uid="{00000000-0005-0000-0000-0000B5000000}"/>
    <cellStyle name="20% - Accent4 13 5" xfId="217" xr:uid="{00000000-0005-0000-0000-0000B6000000}"/>
    <cellStyle name="20% - Accent4 13 6" xfId="218" xr:uid="{00000000-0005-0000-0000-0000B7000000}"/>
    <cellStyle name="20% - Accent4 14" xfId="219" xr:uid="{00000000-0005-0000-0000-0000B8000000}"/>
    <cellStyle name="20% - Accent4 14 2" xfId="220" xr:uid="{00000000-0005-0000-0000-0000B9000000}"/>
    <cellStyle name="20% - Accent4 15" xfId="221" xr:uid="{00000000-0005-0000-0000-0000BA000000}"/>
    <cellStyle name="20% - Accent4 15 2" xfId="222" xr:uid="{00000000-0005-0000-0000-0000BB000000}"/>
    <cellStyle name="20% - Accent4 16" xfId="223" xr:uid="{00000000-0005-0000-0000-0000BC000000}"/>
    <cellStyle name="20% - Accent4 17" xfId="224" xr:uid="{00000000-0005-0000-0000-0000BD000000}"/>
    <cellStyle name="20% - Accent4 2" xfId="225" xr:uid="{00000000-0005-0000-0000-0000BE000000}"/>
    <cellStyle name="20% - Accent4 2 10" xfId="226" xr:uid="{00000000-0005-0000-0000-0000BF000000}"/>
    <cellStyle name="20% - Accent4 2 11" xfId="227" xr:uid="{00000000-0005-0000-0000-0000C0000000}"/>
    <cellStyle name="20% - Accent4 2 12" xfId="228" xr:uid="{00000000-0005-0000-0000-0000C1000000}"/>
    <cellStyle name="20% - Accent4 2 13" xfId="229" xr:uid="{00000000-0005-0000-0000-0000C2000000}"/>
    <cellStyle name="20% - Accent4 2 2" xfId="230" xr:uid="{00000000-0005-0000-0000-0000C3000000}"/>
    <cellStyle name="20% - Accent4 2 3" xfId="231" xr:uid="{00000000-0005-0000-0000-0000C4000000}"/>
    <cellStyle name="20% - Accent4 2 4" xfId="232" xr:uid="{00000000-0005-0000-0000-0000C5000000}"/>
    <cellStyle name="20% - Accent4 2 5" xfId="233" xr:uid="{00000000-0005-0000-0000-0000C6000000}"/>
    <cellStyle name="20% - Accent4 2 6" xfId="234" xr:uid="{00000000-0005-0000-0000-0000C7000000}"/>
    <cellStyle name="20% - Accent4 2 7" xfId="235" xr:uid="{00000000-0005-0000-0000-0000C8000000}"/>
    <cellStyle name="20% - Accent4 3" xfId="236" xr:uid="{00000000-0005-0000-0000-0000C9000000}"/>
    <cellStyle name="20% - Accent4 4" xfId="237" xr:uid="{00000000-0005-0000-0000-0000CA000000}"/>
    <cellStyle name="20% - Accent4 5" xfId="238" xr:uid="{00000000-0005-0000-0000-0000CB000000}"/>
    <cellStyle name="20% - Accent4 6" xfId="239" xr:uid="{00000000-0005-0000-0000-0000CC000000}"/>
    <cellStyle name="20% - Accent4 7" xfId="240" xr:uid="{00000000-0005-0000-0000-0000CD000000}"/>
    <cellStyle name="20% - Accent4 8" xfId="241" xr:uid="{00000000-0005-0000-0000-0000CE000000}"/>
    <cellStyle name="20% - Accent4 8 4" xfId="242" xr:uid="{00000000-0005-0000-0000-0000CF000000}"/>
    <cellStyle name="20% - Accent4 9" xfId="243" xr:uid="{00000000-0005-0000-0000-0000D0000000}"/>
    <cellStyle name="20% - Accent4 9 2" xfId="244" xr:uid="{00000000-0005-0000-0000-0000D1000000}"/>
    <cellStyle name="20% - Accent4 9 3" xfId="245" xr:uid="{00000000-0005-0000-0000-0000D2000000}"/>
    <cellStyle name="20% - Accent4 9 4" xfId="246" xr:uid="{00000000-0005-0000-0000-0000D3000000}"/>
    <cellStyle name="20% - Accent4 9 5" xfId="247" xr:uid="{00000000-0005-0000-0000-0000D4000000}"/>
    <cellStyle name="20% - Accent4 9 6" xfId="248" xr:uid="{00000000-0005-0000-0000-0000D5000000}"/>
    <cellStyle name="20% - Accent5 10" xfId="249" xr:uid="{00000000-0005-0000-0000-0000D6000000}"/>
    <cellStyle name="20% - Accent5 10 2" xfId="250" xr:uid="{00000000-0005-0000-0000-0000D7000000}"/>
    <cellStyle name="20% - Accent5 10 3" xfId="251" xr:uid="{00000000-0005-0000-0000-0000D8000000}"/>
    <cellStyle name="20% - Accent5 10 4" xfId="252" xr:uid="{00000000-0005-0000-0000-0000D9000000}"/>
    <cellStyle name="20% - Accent5 10 5" xfId="253" xr:uid="{00000000-0005-0000-0000-0000DA000000}"/>
    <cellStyle name="20% - Accent5 10 6" xfId="254" xr:uid="{00000000-0005-0000-0000-0000DB000000}"/>
    <cellStyle name="20% - Accent5 11" xfId="255" xr:uid="{00000000-0005-0000-0000-0000DC000000}"/>
    <cellStyle name="20% - Accent5 11 2" xfId="256" xr:uid="{00000000-0005-0000-0000-0000DD000000}"/>
    <cellStyle name="20% - Accent5 11 3" xfId="257" xr:uid="{00000000-0005-0000-0000-0000DE000000}"/>
    <cellStyle name="20% - Accent5 11 4" xfId="258" xr:uid="{00000000-0005-0000-0000-0000DF000000}"/>
    <cellStyle name="20% - Accent5 11 5" xfId="259" xr:uid="{00000000-0005-0000-0000-0000E0000000}"/>
    <cellStyle name="20% - Accent5 11 6" xfId="260" xr:uid="{00000000-0005-0000-0000-0000E1000000}"/>
    <cellStyle name="20% - Accent5 12" xfId="261" xr:uid="{00000000-0005-0000-0000-0000E2000000}"/>
    <cellStyle name="20% - Accent5 12 2" xfId="262" xr:uid="{00000000-0005-0000-0000-0000E3000000}"/>
    <cellStyle name="20% - Accent5 12 3" xfId="263" xr:uid="{00000000-0005-0000-0000-0000E4000000}"/>
    <cellStyle name="20% - Accent5 12 4" xfId="264" xr:uid="{00000000-0005-0000-0000-0000E5000000}"/>
    <cellStyle name="20% - Accent5 12 5" xfId="265" xr:uid="{00000000-0005-0000-0000-0000E6000000}"/>
    <cellStyle name="20% - Accent5 12 6" xfId="266" xr:uid="{00000000-0005-0000-0000-0000E7000000}"/>
    <cellStyle name="20% - Accent5 13" xfId="267" xr:uid="{00000000-0005-0000-0000-0000E8000000}"/>
    <cellStyle name="20% - Accent5 13 2" xfId="268" xr:uid="{00000000-0005-0000-0000-0000E9000000}"/>
    <cellStyle name="20% - Accent5 13 3" xfId="269" xr:uid="{00000000-0005-0000-0000-0000EA000000}"/>
    <cellStyle name="20% - Accent5 13 4" xfId="270" xr:uid="{00000000-0005-0000-0000-0000EB000000}"/>
    <cellStyle name="20% - Accent5 13 5" xfId="271" xr:uid="{00000000-0005-0000-0000-0000EC000000}"/>
    <cellStyle name="20% - Accent5 13 6" xfId="272" xr:uid="{00000000-0005-0000-0000-0000ED000000}"/>
    <cellStyle name="20% - Accent5 14" xfId="273" xr:uid="{00000000-0005-0000-0000-0000EE000000}"/>
    <cellStyle name="20% - Accent5 14 2" xfId="274" xr:uid="{00000000-0005-0000-0000-0000EF000000}"/>
    <cellStyle name="20% - Accent5 15" xfId="275" xr:uid="{00000000-0005-0000-0000-0000F0000000}"/>
    <cellStyle name="20% - Accent5 15 2" xfId="276" xr:uid="{00000000-0005-0000-0000-0000F1000000}"/>
    <cellStyle name="20% - Accent5 16" xfId="277" xr:uid="{00000000-0005-0000-0000-0000F2000000}"/>
    <cellStyle name="20% - Accent5 17" xfId="278" xr:uid="{00000000-0005-0000-0000-0000F3000000}"/>
    <cellStyle name="20% - Accent5 2" xfId="279" xr:uid="{00000000-0005-0000-0000-0000F4000000}"/>
    <cellStyle name="20% - Accent5 2 10" xfId="280" xr:uid="{00000000-0005-0000-0000-0000F5000000}"/>
    <cellStyle name="20% - Accent5 2 11" xfId="281" xr:uid="{00000000-0005-0000-0000-0000F6000000}"/>
    <cellStyle name="20% - Accent5 2 12" xfId="282" xr:uid="{00000000-0005-0000-0000-0000F7000000}"/>
    <cellStyle name="20% - Accent5 2 13" xfId="283" xr:uid="{00000000-0005-0000-0000-0000F8000000}"/>
    <cellStyle name="20% - Accent5 2 2" xfId="284" xr:uid="{00000000-0005-0000-0000-0000F9000000}"/>
    <cellStyle name="20% - Accent5 2 3" xfId="285" xr:uid="{00000000-0005-0000-0000-0000FA000000}"/>
    <cellStyle name="20% - Accent5 2 4" xfId="286" xr:uid="{00000000-0005-0000-0000-0000FB000000}"/>
    <cellStyle name="20% - Accent5 2 5" xfId="287" xr:uid="{00000000-0005-0000-0000-0000FC000000}"/>
    <cellStyle name="20% - Accent5 2 6" xfId="288" xr:uid="{00000000-0005-0000-0000-0000FD000000}"/>
    <cellStyle name="20% - Accent5 2 7" xfId="289" xr:uid="{00000000-0005-0000-0000-0000FE000000}"/>
    <cellStyle name="20% - Accent5 2 8" xfId="290" xr:uid="{00000000-0005-0000-0000-0000FF000000}"/>
    <cellStyle name="20% - Accent5 2 9" xfId="291" xr:uid="{00000000-0005-0000-0000-000000010000}"/>
    <cellStyle name="20% - Accent5 3" xfId="292" xr:uid="{00000000-0005-0000-0000-000001010000}"/>
    <cellStyle name="20% - Accent5 4" xfId="293" xr:uid="{00000000-0005-0000-0000-000002010000}"/>
    <cellStyle name="20% - Accent5 5" xfId="294" xr:uid="{00000000-0005-0000-0000-000003010000}"/>
    <cellStyle name="20% - Accent5 6" xfId="295" xr:uid="{00000000-0005-0000-0000-000004010000}"/>
    <cellStyle name="20% - Accent5 7" xfId="296" xr:uid="{00000000-0005-0000-0000-000005010000}"/>
    <cellStyle name="20% - Accent5 8" xfId="297" xr:uid="{00000000-0005-0000-0000-000006010000}"/>
    <cellStyle name="20% - Accent5 8 2" xfId="298" xr:uid="{00000000-0005-0000-0000-000007010000}"/>
    <cellStyle name="20% - Accent5 8 3" xfId="299" xr:uid="{00000000-0005-0000-0000-000008010000}"/>
    <cellStyle name="20% - Accent5 8 4" xfId="300" xr:uid="{00000000-0005-0000-0000-000009010000}"/>
    <cellStyle name="20% - Accent5 8 5" xfId="301" xr:uid="{00000000-0005-0000-0000-00000A010000}"/>
    <cellStyle name="20% - Accent5 8 6" xfId="302" xr:uid="{00000000-0005-0000-0000-00000B010000}"/>
    <cellStyle name="20% - Accent5 9" xfId="303" xr:uid="{00000000-0005-0000-0000-00000C010000}"/>
    <cellStyle name="20% - Accent5 9 2" xfId="304" xr:uid="{00000000-0005-0000-0000-00000D010000}"/>
    <cellStyle name="20% - Accent5 9 3" xfId="305" xr:uid="{00000000-0005-0000-0000-00000E010000}"/>
    <cellStyle name="20% - Accent5 9 4" xfId="306" xr:uid="{00000000-0005-0000-0000-00000F010000}"/>
    <cellStyle name="20% - Accent5 9 5" xfId="307" xr:uid="{00000000-0005-0000-0000-000010010000}"/>
    <cellStyle name="20% - Accent5 9 6" xfId="308" xr:uid="{00000000-0005-0000-0000-000011010000}"/>
    <cellStyle name="20% - Accent6 10" xfId="309" xr:uid="{00000000-0005-0000-0000-000012010000}"/>
    <cellStyle name="20% - Accent6 10 2" xfId="310" xr:uid="{00000000-0005-0000-0000-000013010000}"/>
    <cellStyle name="20% - Accent6 10 3" xfId="311" xr:uid="{00000000-0005-0000-0000-000014010000}"/>
    <cellStyle name="20% - Accent6 10 4" xfId="312" xr:uid="{00000000-0005-0000-0000-000015010000}"/>
    <cellStyle name="20% - Accent6 11" xfId="313" xr:uid="{00000000-0005-0000-0000-000016010000}"/>
    <cellStyle name="20% - Accent6 12 4" xfId="314" xr:uid="{00000000-0005-0000-0000-000017010000}"/>
    <cellStyle name="20% - Accent6 12 6" xfId="315" xr:uid="{00000000-0005-0000-0000-000018010000}"/>
    <cellStyle name="20% - Accent6 13" xfId="316" xr:uid="{00000000-0005-0000-0000-000019010000}"/>
    <cellStyle name="20% - Accent6 13 2" xfId="317" xr:uid="{00000000-0005-0000-0000-00001A010000}"/>
    <cellStyle name="20% - Accent6 13 3" xfId="318" xr:uid="{00000000-0005-0000-0000-00001B010000}"/>
    <cellStyle name="20% - Accent6 13 4" xfId="319" xr:uid="{00000000-0005-0000-0000-00001C010000}"/>
    <cellStyle name="20% - Accent6 13 5" xfId="320" xr:uid="{00000000-0005-0000-0000-00001D010000}"/>
    <cellStyle name="20% - Accent6 13 6" xfId="321" xr:uid="{00000000-0005-0000-0000-00001E010000}"/>
    <cellStyle name="20% - Accent6 14 2" xfId="322" xr:uid="{00000000-0005-0000-0000-00001F010000}"/>
    <cellStyle name="20% - Accent6 15" xfId="323" xr:uid="{00000000-0005-0000-0000-000020010000}"/>
    <cellStyle name="20% - Accent6 15 2" xfId="324" xr:uid="{00000000-0005-0000-0000-000021010000}"/>
    <cellStyle name="20% - Accent6 2" xfId="325" xr:uid="{00000000-0005-0000-0000-000022010000}"/>
    <cellStyle name="20% - Accent6 2 10" xfId="326" xr:uid="{00000000-0005-0000-0000-000023010000}"/>
    <cellStyle name="20% - Accent6 2 11" xfId="327" xr:uid="{00000000-0005-0000-0000-000024010000}"/>
    <cellStyle name="20% - Accent6 2 12" xfId="328" xr:uid="{00000000-0005-0000-0000-000025010000}"/>
    <cellStyle name="20% - Accent6 2 13" xfId="329" xr:uid="{00000000-0005-0000-0000-000026010000}"/>
    <cellStyle name="20% - Accent6 2 2" xfId="330" xr:uid="{00000000-0005-0000-0000-000027010000}"/>
    <cellStyle name="20% - Accent6 2 3" xfId="331" xr:uid="{00000000-0005-0000-0000-000028010000}"/>
    <cellStyle name="20% - Accent6 2 4" xfId="332" xr:uid="{00000000-0005-0000-0000-000029010000}"/>
    <cellStyle name="20% - Accent6 2 5" xfId="333" xr:uid="{00000000-0005-0000-0000-00002A010000}"/>
    <cellStyle name="20% - Accent6 2 6" xfId="334" xr:uid="{00000000-0005-0000-0000-00002B010000}"/>
    <cellStyle name="20% - Accent6 2 7" xfId="335" xr:uid="{00000000-0005-0000-0000-00002C010000}"/>
    <cellStyle name="20% - Accent6 2 8" xfId="336" xr:uid="{00000000-0005-0000-0000-00002D010000}"/>
    <cellStyle name="20% - Accent6 2 9" xfId="337" xr:uid="{00000000-0005-0000-0000-00002E010000}"/>
    <cellStyle name="20% - Accent6 3" xfId="338" xr:uid="{00000000-0005-0000-0000-00002F010000}"/>
    <cellStyle name="20% - Accent6 4" xfId="339" xr:uid="{00000000-0005-0000-0000-000030010000}"/>
    <cellStyle name="20% - Accent6 5" xfId="340" xr:uid="{00000000-0005-0000-0000-000031010000}"/>
    <cellStyle name="20% - Accent6 6" xfId="341" xr:uid="{00000000-0005-0000-0000-000032010000}"/>
    <cellStyle name="20% - Accent6 7" xfId="342" xr:uid="{00000000-0005-0000-0000-000033010000}"/>
    <cellStyle name="20% - Accent6 8" xfId="343" xr:uid="{00000000-0005-0000-0000-000034010000}"/>
    <cellStyle name="20% - Accent6 8 2" xfId="344" xr:uid="{00000000-0005-0000-0000-000035010000}"/>
    <cellStyle name="20% - Accent6 8 3" xfId="345" xr:uid="{00000000-0005-0000-0000-000036010000}"/>
    <cellStyle name="20% - Accent6 8 4" xfId="346" xr:uid="{00000000-0005-0000-0000-000037010000}"/>
    <cellStyle name="20% - Accent6 8 5" xfId="347" xr:uid="{00000000-0005-0000-0000-000038010000}"/>
    <cellStyle name="20% - Accent6 8 6" xfId="348" xr:uid="{00000000-0005-0000-0000-000039010000}"/>
    <cellStyle name="20% - Accent6 9" xfId="349" xr:uid="{00000000-0005-0000-0000-00003A010000}"/>
    <cellStyle name="20% - Accent6 9 2" xfId="350" xr:uid="{00000000-0005-0000-0000-00003B010000}"/>
    <cellStyle name="20% - Accent6 9 3" xfId="351" xr:uid="{00000000-0005-0000-0000-00003C010000}"/>
    <cellStyle name="20% - Accent6 9 4" xfId="352" xr:uid="{00000000-0005-0000-0000-00003D010000}"/>
    <cellStyle name="20% - Accent6 9 5" xfId="353" xr:uid="{00000000-0005-0000-0000-00003E010000}"/>
    <cellStyle name="20% - Accent6 9 6" xfId="354" xr:uid="{00000000-0005-0000-0000-00003F010000}"/>
    <cellStyle name="40% - Accent1 10" xfId="355" xr:uid="{00000000-0005-0000-0000-000040010000}"/>
    <cellStyle name="40% - Accent1 10 2" xfId="356" xr:uid="{00000000-0005-0000-0000-000041010000}"/>
    <cellStyle name="40% - Accent1 10 3" xfId="357" xr:uid="{00000000-0005-0000-0000-000042010000}"/>
    <cellStyle name="40% - Accent1 10 4" xfId="358" xr:uid="{00000000-0005-0000-0000-000043010000}"/>
    <cellStyle name="40% - Accent1 10 5" xfId="359" xr:uid="{00000000-0005-0000-0000-000044010000}"/>
    <cellStyle name="40% - Accent1 10 6" xfId="360" xr:uid="{00000000-0005-0000-0000-000045010000}"/>
    <cellStyle name="40% - Accent1 11" xfId="361" xr:uid="{00000000-0005-0000-0000-000046010000}"/>
    <cellStyle name="40% - Accent1 11 2" xfId="362" xr:uid="{00000000-0005-0000-0000-000047010000}"/>
    <cellStyle name="40% - Accent1 11 3" xfId="363" xr:uid="{00000000-0005-0000-0000-000048010000}"/>
    <cellStyle name="40% - Accent1 11 4" xfId="364" xr:uid="{00000000-0005-0000-0000-000049010000}"/>
    <cellStyle name="40% - Accent1 11 5" xfId="365" xr:uid="{00000000-0005-0000-0000-00004A010000}"/>
    <cellStyle name="40% - Accent1 11 6" xfId="366" xr:uid="{00000000-0005-0000-0000-00004B010000}"/>
    <cellStyle name="40% - Accent1 12" xfId="367" xr:uid="{00000000-0005-0000-0000-00004C010000}"/>
    <cellStyle name="40% - Accent1 12 2" xfId="368" xr:uid="{00000000-0005-0000-0000-00004D010000}"/>
    <cellStyle name="40% - Accent1 12 3" xfId="369" xr:uid="{00000000-0005-0000-0000-00004E010000}"/>
    <cellStyle name="40% - Accent1 12 4" xfId="370" xr:uid="{00000000-0005-0000-0000-00004F010000}"/>
    <cellStyle name="40% - Accent1 12 5" xfId="371" xr:uid="{00000000-0005-0000-0000-000050010000}"/>
    <cellStyle name="40% - Accent1 12 6" xfId="372" xr:uid="{00000000-0005-0000-0000-000051010000}"/>
    <cellStyle name="40% - Accent1 13" xfId="373" xr:uid="{00000000-0005-0000-0000-000052010000}"/>
    <cellStyle name="40% - Accent1 13 2" xfId="374" xr:uid="{00000000-0005-0000-0000-000053010000}"/>
    <cellStyle name="40% - Accent1 13 3" xfId="375" xr:uid="{00000000-0005-0000-0000-000054010000}"/>
    <cellStyle name="40% - Accent1 13 4" xfId="376" xr:uid="{00000000-0005-0000-0000-000055010000}"/>
    <cellStyle name="40% - Accent1 13 5" xfId="377" xr:uid="{00000000-0005-0000-0000-000056010000}"/>
    <cellStyle name="40% - Accent1 13 6" xfId="378" xr:uid="{00000000-0005-0000-0000-000057010000}"/>
    <cellStyle name="40% - Accent1 14" xfId="379" xr:uid="{00000000-0005-0000-0000-000058010000}"/>
    <cellStyle name="40% - Accent1 14 2" xfId="380" xr:uid="{00000000-0005-0000-0000-000059010000}"/>
    <cellStyle name="40% - Accent1 15" xfId="381" xr:uid="{00000000-0005-0000-0000-00005A010000}"/>
    <cellStyle name="40% - Accent1 2" xfId="382" xr:uid="{00000000-0005-0000-0000-00005B010000}"/>
    <cellStyle name="40% - Accent1 2 2" xfId="383" xr:uid="{00000000-0005-0000-0000-00005C010000}"/>
    <cellStyle name="40% - Accent1 2 7" xfId="384" xr:uid="{00000000-0005-0000-0000-00005D010000}"/>
    <cellStyle name="40% - Accent1 2 9" xfId="385" xr:uid="{00000000-0005-0000-0000-00005E010000}"/>
    <cellStyle name="40% - Accent1 3" xfId="386" xr:uid="{00000000-0005-0000-0000-00005F010000}"/>
    <cellStyle name="40% - Accent1 4" xfId="387" xr:uid="{00000000-0005-0000-0000-000060010000}"/>
    <cellStyle name="40% - Accent1 5" xfId="388" xr:uid="{00000000-0005-0000-0000-000061010000}"/>
    <cellStyle name="40% - Accent1 6" xfId="389" xr:uid="{00000000-0005-0000-0000-000062010000}"/>
    <cellStyle name="40% - Accent1 7" xfId="390" xr:uid="{00000000-0005-0000-0000-000063010000}"/>
    <cellStyle name="40% - Accent1 8" xfId="391" xr:uid="{00000000-0005-0000-0000-000064010000}"/>
    <cellStyle name="40% - Accent1 8 2" xfId="392" xr:uid="{00000000-0005-0000-0000-000065010000}"/>
    <cellStyle name="40% - Accent1 8 3" xfId="393" xr:uid="{00000000-0005-0000-0000-000066010000}"/>
    <cellStyle name="40% - Accent1 8 4" xfId="394" xr:uid="{00000000-0005-0000-0000-000067010000}"/>
    <cellStyle name="40% - Accent1 8 5" xfId="395" xr:uid="{00000000-0005-0000-0000-000068010000}"/>
    <cellStyle name="40% - Accent1 8 6" xfId="396" xr:uid="{00000000-0005-0000-0000-000069010000}"/>
    <cellStyle name="40% - Accent1 9" xfId="397" xr:uid="{00000000-0005-0000-0000-00006A010000}"/>
    <cellStyle name="40% - Accent1 9 2" xfId="398" xr:uid="{00000000-0005-0000-0000-00006B010000}"/>
    <cellStyle name="40% - Accent1 9 3" xfId="399" xr:uid="{00000000-0005-0000-0000-00006C010000}"/>
    <cellStyle name="40% - Accent1 9 4" xfId="400" xr:uid="{00000000-0005-0000-0000-00006D010000}"/>
    <cellStyle name="40% - Accent1 9 5" xfId="401" xr:uid="{00000000-0005-0000-0000-00006E010000}"/>
    <cellStyle name="40% - Accent1 9 6" xfId="402" xr:uid="{00000000-0005-0000-0000-00006F010000}"/>
    <cellStyle name="40% - Accent2 10" xfId="403" xr:uid="{00000000-0005-0000-0000-000070010000}"/>
    <cellStyle name="40% - Accent2 10 2" xfId="404" xr:uid="{00000000-0005-0000-0000-000071010000}"/>
    <cellStyle name="40% - Accent2 10 3" xfId="405" xr:uid="{00000000-0005-0000-0000-000072010000}"/>
    <cellStyle name="40% - Accent2 10 4" xfId="406" xr:uid="{00000000-0005-0000-0000-000073010000}"/>
    <cellStyle name="40% - Accent2 10 5" xfId="407" xr:uid="{00000000-0005-0000-0000-000074010000}"/>
    <cellStyle name="40% - Accent2 10 6" xfId="408" xr:uid="{00000000-0005-0000-0000-000075010000}"/>
    <cellStyle name="40% - Accent2 11" xfId="409" xr:uid="{00000000-0005-0000-0000-000076010000}"/>
    <cellStyle name="40% - Accent2 11 2" xfId="410" xr:uid="{00000000-0005-0000-0000-000077010000}"/>
    <cellStyle name="40% - Accent2 11 3" xfId="411" xr:uid="{00000000-0005-0000-0000-000078010000}"/>
    <cellStyle name="40% - Accent2 11 4" xfId="412" xr:uid="{00000000-0005-0000-0000-000079010000}"/>
    <cellStyle name="40% - Accent2 11 5" xfId="413" xr:uid="{00000000-0005-0000-0000-00007A010000}"/>
    <cellStyle name="40% - Accent2 11 6" xfId="414" xr:uid="{00000000-0005-0000-0000-00007B010000}"/>
    <cellStyle name="40% - Accent2 12" xfId="415" xr:uid="{00000000-0005-0000-0000-00007C010000}"/>
    <cellStyle name="40% - Accent2 12 2" xfId="416" xr:uid="{00000000-0005-0000-0000-00007D010000}"/>
    <cellStyle name="40% - Accent2 12 3" xfId="417" xr:uid="{00000000-0005-0000-0000-00007E010000}"/>
    <cellStyle name="40% - Accent2 12 4" xfId="418" xr:uid="{00000000-0005-0000-0000-00007F010000}"/>
    <cellStyle name="40% - Accent2 12 5" xfId="419" xr:uid="{00000000-0005-0000-0000-000080010000}"/>
    <cellStyle name="40% - Accent2 12 6" xfId="420" xr:uid="{00000000-0005-0000-0000-000081010000}"/>
    <cellStyle name="40% - Accent2 13" xfId="421" xr:uid="{00000000-0005-0000-0000-000082010000}"/>
    <cellStyle name="40% - Accent2 13 2" xfId="422" xr:uid="{00000000-0005-0000-0000-000083010000}"/>
    <cellStyle name="40% - Accent2 13 3" xfId="423" xr:uid="{00000000-0005-0000-0000-000084010000}"/>
    <cellStyle name="40% - Accent2 13 4" xfId="424" xr:uid="{00000000-0005-0000-0000-000085010000}"/>
    <cellStyle name="40% - Accent2 13 5" xfId="425" xr:uid="{00000000-0005-0000-0000-000086010000}"/>
    <cellStyle name="40% - Accent2 13 6" xfId="426" xr:uid="{00000000-0005-0000-0000-000087010000}"/>
    <cellStyle name="40% - Accent2 14" xfId="427" xr:uid="{00000000-0005-0000-0000-000088010000}"/>
    <cellStyle name="40% - Accent2 14 2" xfId="428" xr:uid="{00000000-0005-0000-0000-000089010000}"/>
    <cellStyle name="40% - Accent2 15" xfId="429" xr:uid="{00000000-0005-0000-0000-00008A010000}"/>
    <cellStyle name="40% - Accent2 15 2" xfId="430" xr:uid="{00000000-0005-0000-0000-00008B010000}"/>
    <cellStyle name="40% - Accent2 16" xfId="431" xr:uid="{00000000-0005-0000-0000-00008C010000}"/>
    <cellStyle name="40% - Accent2 2" xfId="432" xr:uid="{00000000-0005-0000-0000-00008D010000}"/>
    <cellStyle name="40% - Accent2 2 10" xfId="433" xr:uid="{00000000-0005-0000-0000-00008E010000}"/>
    <cellStyle name="40% - Accent2 2 11" xfId="434" xr:uid="{00000000-0005-0000-0000-00008F010000}"/>
    <cellStyle name="40% - Accent2 2 12" xfId="435" xr:uid="{00000000-0005-0000-0000-000090010000}"/>
    <cellStyle name="40% - Accent2 2 13" xfId="436" xr:uid="{00000000-0005-0000-0000-000091010000}"/>
    <cellStyle name="40% - Accent2 2 2" xfId="437" xr:uid="{00000000-0005-0000-0000-000092010000}"/>
    <cellStyle name="40% - Accent2 2 3" xfId="438" xr:uid="{00000000-0005-0000-0000-000093010000}"/>
    <cellStyle name="40% - Accent2 2 4" xfId="439" xr:uid="{00000000-0005-0000-0000-000094010000}"/>
    <cellStyle name="40% - Accent2 2 5" xfId="440" xr:uid="{00000000-0005-0000-0000-000095010000}"/>
    <cellStyle name="40% - Accent2 2 6" xfId="441" xr:uid="{00000000-0005-0000-0000-000096010000}"/>
    <cellStyle name="40% - Accent2 2 7" xfId="442" xr:uid="{00000000-0005-0000-0000-000097010000}"/>
    <cellStyle name="40% - Accent2 2 8" xfId="443" xr:uid="{00000000-0005-0000-0000-000098010000}"/>
    <cellStyle name="40% - Accent2 2 9" xfId="444" xr:uid="{00000000-0005-0000-0000-000099010000}"/>
    <cellStyle name="40% - Accent2 3" xfId="445" xr:uid="{00000000-0005-0000-0000-00009A010000}"/>
    <cellStyle name="40% - Accent2 4" xfId="446" xr:uid="{00000000-0005-0000-0000-00009B010000}"/>
    <cellStyle name="40% - Accent2 5" xfId="447" xr:uid="{00000000-0005-0000-0000-00009C010000}"/>
    <cellStyle name="40% - Accent2 6" xfId="448" xr:uid="{00000000-0005-0000-0000-00009D010000}"/>
    <cellStyle name="40% - Accent2 7" xfId="449" xr:uid="{00000000-0005-0000-0000-00009E010000}"/>
    <cellStyle name="40% - Accent2 8" xfId="450" xr:uid="{00000000-0005-0000-0000-00009F010000}"/>
    <cellStyle name="40% - Accent2 8 4" xfId="451" xr:uid="{00000000-0005-0000-0000-0000A0010000}"/>
    <cellStyle name="40% - Accent2 8 5" xfId="452" xr:uid="{00000000-0005-0000-0000-0000A1010000}"/>
    <cellStyle name="40% - Accent2 8 6" xfId="453" xr:uid="{00000000-0005-0000-0000-0000A2010000}"/>
    <cellStyle name="40% - Accent2 9" xfId="454" xr:uid="{00000000-0005-0000-0000-0000A3010000}"/>
    <cellStyle name="40% - Accent2 9 5" xfId="455" xr:uid="{00000000-0005-0000-0000-0000A4010000}"/>
    <cellStyle name="40% - Accent3 10" xfId="456" xr:uid="{00000000-0005-0000-0000-0000A5010000}"/>
    <cellStyle name="40% - Accent3 10 3" xfId="457" xr:uid="{00000000-0005-0000-0000-0000A6010000}"/>
    <cellStyle name="40% - Accent3 10 5" xfId="458" xr:uid="{00000000-0005-0000-0000-0000A7010000}"/>
    <cellStyle name="40% - Accent3 10 6" xfId="459" xr:uid="{00000000-0005-0000-0000-0000A8010000}"/>
    <cellStyle name="40% - Accent3 11" xfId="460" xr:uid="{00000000-0005-0000-0000-0000A9010000}"/>
    <cellStyle name="40% - Accent3 11 2" xfId="461" xr:uid="{00000000-0005-0000-0000-0000AA010000}"/>
    <cellStyle name="40% - Accent3 11 3" xfId="462" xr:uid="{00000000-0005-0000-0000-0000AB010000}"/>
    <cellStyle name="40% - Accent3 11 4" xfId="463" xr:uid="{00000000-0005-0000-0000-0000AC010000}"/>
    <cellStyle name="40% - Accent3 11 5" xfId="464" xr:uid="{00000000-0005-0000-0000-0000AD010000}"/>
    <cellStyle name="40% - Accent3 11 6" xfId="465" xr:uid="{00000000-0005-0000-0000-0000AE010000}"/>
    <cellStyle name="40% - Accent3 12" xfId="466" xr:uid="{00000000-0005-0000-0000-0000AF010000}"/>
    <cellStyle name="40% - Accent3 12 2" xfId="467" xr:uid="{00000000-0005-0000-0000-0000B0010000}"/>
    <cellStyle name="40% - Accent3 12 3" xfId="468" xr:uid="{00000000-0005-0000-0000-0000B1010000}"/>
    <cellStyle name="40% - Accent3 12 4" xfId="469" xr:uid="{00000000-0005-0000-0000-0000B2010000}"/>
    <cellStyle name="40% - Accent3 12 5" xfId="470" xr:uid="{00000000-0005-0000-0000-0000B3010000}"/>
    <cellStyle name="40% - Accent3 12 6" xfId="471" xr:uid="{00000000-0005-0000-0000-0000B4010000}"/>
    <cellStyle name="40% - Accent3 13" xfId="472" xr:uid="{00000000-0005-0000-0000-0000B5010000}"/>
    <cellStyle name="40% - Accent3 13 2" xfId="473" xr:uid="{00000000-0005-0000-0000-0000B6010000}"/>
    <cellStyle name="40% - Accent3 13 3" xfId="474" xr:uid="{00000000-0005-0000-0000-0000B7010000}"/>
    <cellStyle name="40% - Accent3 13 4" xfId="475" xr:uid="{00000000-0005-0000-0000-0000B8010000}"/>
    <cellStyle name="40% - Accent3 13 5" xfId="476" xr:uid="{00000000-0005-0000-0000-0000B9010000}"/>
    <cellStyle name="40% - Accent3 13 6" xfId="477" xr:uid="{00000000-0005-0000-0000-0000BA010000}"/>
    <cellStyle name="40% - Accent3 14" xfId="478" xr:uid="{00000000-0005-0000-0000-0000BB010000}"/>
    <cellStyle name="40% - Accent3 14 2" xfId="479" xr:uid="{00000000-0005-0000-0000-0000BC010000}"/>
    <cellStyle name="40% - Accent3 15" xfId="480" xr:uid="{00000000-0005-0000-0000-0000BD010000}"/>
    <cellStyle name="40% - Accent3 15 2" xfId="481" xr:uid="{00000000-0005-0000-0000-0000BE010000}"/>
    <cellStyle name="40% - Accent3 2" xfId="482" xr:uid="{00000000-0005-0000-0000-0000BF010000}"/>
    <cellStyle name="40% - Accent3 2 10" xfId="483" xr:uid="{00000000-0005-0000-0000-0000C0010000}"/>
    <cellStyle name="40% - Accent3 2 11" xfId="484" xr:uid="{00000000-0005-0000-0000-0000C1010000}"/>
    <cellStyle name="40% - Accent3 2 12" xfId="485" xr:uid="{00000000-0005-0000-0000-0000C2010000}"/>
    <cellStyle name="40% - Accent3 2 13" xfId="486" xr:uid="{00000000-0005-0000-0000-0000C3010000}"/>
    <cellStyle name="40% - Accent3 2 2" xfId="487" xr:uid="{00000000-0005-0000-0000-0000C4010000}"/>
    <cellStyle name="40% - Accent3 2 3" xfId="488" xr:uid="{00000000-0005-0000-0000-0000C5010000}"/>
    <cellStyle name="40% - Accent3 2 4" xfId="489" xr:uid="{00000000-0005-0000-0000-0000C6010000}"/>
    <cellStyle name="40% - Accent3 2 5" xfId="490" xr:uid="{00000000-0005-0000-0000-0000C7010000}"/>
    <cellStyle name="40% - Accent3 2 6" xfId="491" xr:uid="{00000000-0005-0000-0000-0000C8010000}"/>
    <cellStyle name="40% - Accent3 2 7" xfId="492" xr:uid="{00000000-0005-0000-0000-0000C9010000}"/>
    <cellStyle name="40% - Accent3 2 8" xfId="493" xr:uid="{00000000-0005-0000-0000-0000CA010000}"/>
    <cellStyle name="40% - Accent3 2 9" xfId="494" xr:uid="{00000000-0005-0000-0000-0000CB010000}"/>
    <cellStyle name="40% - Accent3 3" xfId="495" xr:uid="{00000000-0005-0000-0000-0000CC010000}"/>
    <cellStyle name="40% - Accent3 4" xfId="496" xr:uid="{00000000-0005-0000-0000-0000CD010000}"/>
    <cellStyle name="40% - Accent3 5" xfId="497" xr:uid="{00000000-0005-0000-0000-0000CE010000}"/>
    <cellStyle name="40% - Accent3 6" xfId="498" xr:uid="{00000000-0005-0000-0000-0000CF010000}"/>
    <cellStyle name="40% - Accent3 7" xfId="499" xr:uid="{00000000-0005-0000-0000-0000D0010000}"/>
    <cellStyle name="40% - Accent3 8" xfId="500" xr:uid="{00000000-0005-0000-0000-0000D1010000}"/>
    <cellStyle name="40% - Accent3 8 2" xfId="501" xr:uid="{00000000-0005-0000-0000-0000D2010000}"/>
    <cellStyle name="40% - Accent3 8 3" xfId="502" xr:uid="{00000000-0005-0000-0000-0000D3010000}"/>
    <cellStyle name="40% - Accent3 8 4" xfId="503" xr:uid="{00000000-0005-0000-0000-0000D4010000}"/>
    <cellStyle name="40% - Accent3 8 5" xfId="504" xr:uid="{00000000-0005-0000-0000-0000D5010000}"/>
    <cellStyle name="40% - Accent3 8 6" xfId="505" xr:uid="{00000000-0005-0000-0000-0000D6010000}"/>
    <cellStyle name="40% - Accent3 9" xfId="506" xr:uid="{00000000-0005-0000-0000-0000D7010000}"/>
    <cellStyle name="40% - Accent3 9 2" xfId="507" xr:uid="{00000000-0005-0000-0000-0000D8010000}"/>
    <cellStyle name="40% - Accent3 9 3" xfId="508" xr:uid="{00000000-0005-0000-0000-0000D9010000}"/>
    <cellStyle name="40% - Accent3 9 4" xfId="509" xr:uid="{00000000-0005-0000-0000-0000DA010000}"/>
    <cellStyle name="40% - Accent3 9 5" xfId="510" xr:uid="{00000000-0005-0000-0000-0000DB010000}"/>
    <cellStyle name="40% - Accent3 9 6" xfId="511" xr:uid="{00000000-0005-0000-0000-0000DC010000}"/>
    <cellStyle name="40% - Accent4 10" xfId="512" xr:uid="{00000000-0005-0000-0000-0000DD010000}"/>
    <cellStyle name="40% - Accent4 10 2" xfId="513" xr:uid="{00000000-0005-0000-0000-0000DE010000}"/>
    <cellStyle name="40% - Accent4 10 3" xfId="514" xr:uid="{00000000-0005-0000-0000-0000DF010000}"/>
    <cellStyle name="40% - Accent4 10 4" xfId="515" xr:uid="{00000000-0005-0000-0000-0000E0010000}"/>
    <cellStyle name="40% - Accent4 10 5" xfId="516" xr:uid="{00000000-0005-0000-0000-0000E1010000}"/>
    <cellStyle name="40% - Accent4 10 6" xfId="517" xr:uid="{00000000-0005-0000-0000-0000E2010000}"/>
    <cellStyle name="40% - Accent4 11" xfId="518" xr:uid="{00000000-0005-0000-0000-0000E3010000}"/>
    <cellStyle name="40% - Accent4 11 2" xfId="519" xr:uid="{00000000-0005-0000-0000-0000E4010000}"/>
    <cellStyle name="40% - Accent4 11 6" xfId="520" xr:uid="{00000000-0005-0000-0000-0000E5010000}"/>
    <cellStyle name="40% - Accent4 12" xfId="521" xr:uid="{00000000-0005-0000-0000-0000E6010000}"/>
    <cellStyle name="40% - Accent4 12 2" xfId="522" xr:uid="{00000000-0005-0000-0000-0000E7010000}"/>
    <cellStyle name="40% - Accent4 12 3" xfId="523" xr:uid="{00000000-0005-0000-0000-0000E8010000}"/>
    <cellStyle name="40% - Accent4 13" xfId="524" xr:uid="{00000000-0005-0000-0000-0000E9010000}"/>
    <cellStyle name="40% - Accent4 13 2" xfId="525" xr:uid="{00000000-0005-0000-0000-0000EA010000}"/>
    <cellStyle name="40% - Accent4 13 4" xfId="526" xr:uid="{00000000-0005-0000-0000-0000EB010000}"/>
    <cellStyle name="40% - Accent4 13 5" xfId="527" xr:uid="{00000000-0005-0000-0000-0000EC010000}"/>
    <cellStyle name="40% - Accent4 15" xfId="528" xr:uid="{00000000-0005-0000-0000-0000ED010000}"/>
    <cellStyle name="40% - Accent4 16" xfId="529" xr:uid="{00000000-0005-0000-0000-0000EE010000}"/>
    <cellStyle name="40% - Accent4 2" xfId="530" xr:uid="{00000000-0005-0000-0000-0000EF010000}"/>
    <cellStyle name="40% - Accent4 2 10" xfId="531" xr:uid="{00000000-0005-0000-0000-0000F0010000}"/>
    <cellStyle name="40% - Accent4 2 11" xfId="532" xr:uid="{00000000-0005-0000-0000-0000F1010000}"/>
    <cellStyle name="40% - Accent4 2 12" xfId="533" xr:uid="{00000000-0005-0000-0000-0000F2010000}"/>
    <cellStyle name="40% - Accent4 2 13" xfId="534" xr:uid="{00000000-0005-0000-0000-0000F3010000}"/>
    <cellStyle name="40% - Accent4 2 2" xfId="535" xr:uid="{00000000-0005-0000-0000-0000F4010000}"/>
    <cellStyle name="40% - Accent4 2 3" xfId="536" xr:uid="{00000000-0005-0000-0000-0000F5010000}"/>
    <cellStyle name="40% - Accent4 2 4" xfId="537" xr:uid="{00000000-0005-0000-0000-0000F6010000}"/>
    <cellStyle name="40% - Accent4 2 5" xfId="538" xr:uid="{00000000-0005-0000-0000-0000F7010000}"/>
    <cellStyle name="40% - Accent4 2 6" xfId="539" xr:uid="{00000000-0005-0000-0000-0000F8010000}"/>
    <cellStyle name="40% - Accent4 2 7" xfId="540" xr:uid="{00000000-0005-0000-0000-0000F9010000}"/>
    <cellStyle name="40% - Accent4 2 8" xfId="541" xr:uid="{00000000-0005-0000-0000-0000FA010000}"/>
    <cellStyle name="40% - Accent4 2 9" xfId="542" xr:uid="{00000000-0005-0000-0000-0000FB010000}"/>
    <cellStyle name="40% - Accent4 3" xfId="543" xr:uid="{00000000-0005-0000-0000-0000FC010000}"/>
    <cellStyle name="40% - Accent4 4" xfId="544" xr:uid="{00000000-0005-0000-0000-0000FD010000}"/>
    <cellStyle name="40% - Accent4 5" xfId="545" xr:uid="{00000000-0005-0000-0000-0000FE010000}"/>
    <cellStyle name="40% - Accent4 6" xfId="546" xr:uid="{00000000-0005-0000-0000-0000FF010000}"/>
    <cellStyle name="40% - Accent4 7" xfId="547" xr:uid="{00000000-0005-0000-0000-000000020000}"/>
    <cellStyle name="40% - Accent4 8" xfId="548" xr:uid="{00000000-0005-0000-0000-000001020000}"/>
    <cellStyle name="40% - Accent4 8 2" xfId="549" xr:uid="{00000000-0005-0000-0000-000002020000}"/>
    <cellStyle name="40% - Accent4 8 3" xfId="550" xr:uid="{00000000-0005-0000-0000-000003020000}"/>
    <cellStyle name="40% - Accent4 8 4" xfId="551" xr:uid="{00000000-0005-0000-0000-000004020000}"/>
    <cellStyle name="40% - Accent4 8 5" xfId="552" xr:uid="{00000000-0005-0000-0000-000005020000}"/>
    <cellStyle name="40% - Accent4 8 6" xfId="553" xr:uid="{00000000-0005-0000-0000-000006020000}"/>
    <cellStyle name="40% - Accent4 9" xfId="554" xr:uid="{00000000-0005-0000-0000-000007020000}"/>
    <cellStyle name="40% - Accent4 9 2" xfId="555" xr:uid="{00000000-0005-0000-0000-000008020000}"/>
    <cellStyle name="40% - Accent4 9 3" xfId="556" xr:uid="{00000000-0005-0000-0000-000009020000}"/>
    <cellStyle name="40% - Accent4 9 4" xfId="557" xr:uid="{00000000-0005-0000-0000-00000A020000}"/>
    <cellStyle name="40% - Accent4 9 5" xfId="558" xr:uid="{00000000-0005-0000-0000-00000B020000}"/>
    <cellStyle name="40% - Accent4 9 6" xfId="559" xr:uid="{00000000-0005-0000-0000-00000C020000}"/>
    <cellStyle name="40% - Accent5 10" xfId="560" xr:uid="{00000000-0005-0000-0000-00000D020000}"/>
    <cellStyle name="40% - Accent5 10 2" xfId="561" xr:uid="{00000000-0005-0000-0000-00000E020000}"/>
    <cellStyle name="40% - Accent5 10 3" xfId="562" xr:uid="{00000000-0005-0000-0000-00000F020000}"/>
    <cellStyle name="40% - Accent5 10 4" xfId="563" xr:uid="{00000000-0005-0000-0000-000010020000}"/>
    <cellStyle name="40% - Accent5 10 5" xfId="564" xr:uid="{00000000-0005-0000-0000-000011020000}"/>
    <cellStyle name="40% - Accent5 10 6" xfId="565" xr:uid="{00000000-0005-0000-0000-000012020000}"/>
    <cellStyle name="40% - Accent5 11" xfId="566" xr:uid="{00000000-0005-0000-0000-000013020000}"/>
    <cellStyle name="40% - Accent5 11 2" xfId="567" xr:uid="{00000000-0005-0000-0000-000014020000}"/>
    <cellStyle name="40% - Accent5 11 3" xfId="568" xr:uid="{00000000-0005-0000-0000-000015020000}"/>
    <cellStyle name="40% - Accent5 11 4" xfId="569" xr:uid="{00000000-0005-0000-0000-000016020000}"/>
    <cellStyle name="40% - Accent5 11 5" xfId="570" xr:uid="{00000000-0005-0000-0000-000017020000}"/>
    <cellStyle name="40% - Accent5 11 6" xfId="571" xr:uid="{00000000-0005-0000-0000-000018020000}"/>
    <cellStyle name="40% - Accent5 12" xfId="572" xr:uid="{00000000-0005-0000-0000-000019020000}"/>
    <cellStyle name="40% - Accent5 12 2" xfId="573" xr:uid="{00000000-0005-0000-0000-00001A020000}"/>
    <cellStyle name="40% - Accent5 12 3" xfId="574" xr:uid="{00000000-0005-0000-0000-00001B020000}"/>
    <cellStyle name="40% - Accent5 12 4" xfId="575" xr:uid="{00000000-0005-0000-0000-00001C020000}"/>
    <cellStyle name="40% - Accent5 12 5" xfId="576" xr:uid="{00000000-0005-0000-0000-00001D020000}"/>
    <cellStyle name="40% - Accent5 12 6" xfId="577" xr:uid="{00000000-0005-0000-0000-00001E020000}"/>
    <cellStyle name="40% - Accent5 13" xfId="578" xr:uid="{00000000-0005-0000-0000-00001F020000}"/>
    <cellStyle name="40% - Accent5 13 2" xfId="579" xr:uid="{00000000-0005-0000-0000-000020020000}"/>
    <cellStyle name="40% - Accent5 13 3" xfId="580" xr:uid="{00000000-0005-0000-0000-000021020000}"/>
    <cellStyle name="40% - Accent5 13 4" xfId="581" xr:uid="{00000000-0005-0000-0000-000022020000}"/>
    <cellStyle name="40% - Accent5 13 5" xfId="582" xr:uid="{00000000-0005-0000-0000-000023020000}"/>
    <cellStyle name="40% - Accent5 13 6" xfId="583" xr:uid="{00000000-0005-0000-0000-000024020000}"/>
    <cellStyle name="40% - Accent5 14" xfId="584" xr:uid="{00000000-0005-0000-0000-000025020000}"/>
    <cellStyle name="40% - Accent5 14 2" xfId="585" xr:uid="{00000000-0005-0000-0000-000026020000}"/>
    <cellStyle name="40% - Accent5 15" xfId="586" xr:uid="{00000000-0005-0000-0000-000027020000}"/>
    <cellStyle name="40% - Accent5 15 2" xfId="587" xr:uid="{00000000-0005-0000-0000-000028020000}"/>
    <cellStyle name="40% - Accent5 16" xfId="588" xr:uid="{00000000-0005-0000-0000-000029020000}"/>
    <cellStyle name="40% - Accent5 17" xfId="589" xr:uid="{00000000-0005-0000-0000-00002A020000}"/>
    <cellStyle name="40% - Accent5 2" xfId="590" xr:uid="{00000000-0005-0000-0000-00002B020000}"/>
    <cellStyle name="40% - Accent5 2 12" xfId="591" xr:uid="{00000000-0005-0000-0000-00002C020000}"/>
    <cellStyle name="40% - Accent5 2 13" xfId="592" xr:uid="{00000000-0005-0000-0000-00002D020000}"/>
    <cellStyle name="40% - Accent5 2 2" xfId="593" xr:uid="{00000000-0005-0000-0000-00002E020000}"/>
    <cellStyle name="40% - Accent5 2 3" xfId="594" xr:uid="{00000000-0005-0000-0000-00002F020000}"/>
    <cellStyle name="40% - Accent5 2 4" xfId="595" xr:uid="{00000000-0005-0000-0000-000030020000}"/>
    <cellStyle name="40% - Accent5 2 8" xfId="596" xr:uid="{00000000-0005-0000-0000-000031020000}"/>
    <cellStyle name="40% - Accent5 3" xfId="597" xr:uid="{00000000-0005-0000-0000-000032020000}"/>
    <cellStyle name="40% - Accent5 4" xfId="598" xr:uid="{00000000-0005-0000-0000-000033020000}"/>
    <cellStyle name="40% - Accent5 5" xfId="599" xr:uid="{00000000-0005-0000-0000-000034020000}"/>
    <cellStyle name="40% - Accent5 6" xfId="600" xr:uid="{00000000-0005-0000-0000-000035020000}"/>
    <cellStyle name="40% - Accent5 7" xfId="601" xr:uid="{00000000-0005-0000-0000-000036020000}"/>
    <cellStyle name="40% - Accent5 8" xfId="602" xr:uid="{00000000-0005-0000-0000-000037020000}"/>
    <cellStyle name="40% - Accent5 8 4" xfId="603" xr:uid="{00000000-0005-0000-0000-000038020000}"/>
    <cellStyle name="40% - Accent5 8 6" xfId="604" xr:uid="{00000000-0005-0000-0000-000039020000}"/>
    <cellStyle name="40% - Accent5 9" xfId="605" xr:uid="{00000000-0005-0000-0000-00003A020000}"/>
    <cellStyle name="40% - Accent5 9 2" xfId="606" xr:uid="{00000000-0005-0000-0000-00003B020000}"/>
    <cellStyle name="40% - Accent5 9 3" xfId="607" xr:uid="{00000000-0005-0000-0000-00003C020000}"/>
    <cellStyle name="40% - Accent5 9 4" xfId="608" xr:uid="{00000000-0005-0000-0000-00003D020000}"/>
    <cellStyle name="40% - Accent5 9 5" xfId="609" xr:uid="{00000000-0005-0000-0000-00003E020000}"/>
    <cellStyle name="40% - Accent5 9 6" xfId="610" xr:uid="{00000000-0005-0000-0000-00003F020000}"/>
    <cellStyle name="40% - Accent6 10" xfId="611" xr:uid="{00000000-0005-0000-0000-000040020000}"/>
    <cellStyle name="40% - Accent6 10 2" xfId="612" xr:uid="{00000000-0005-0000-0000-000041020000}"/>
    <cellStyle name="40% - Accent6 10 3" xfId="613" xr:uid="{00000000-0005-0000-0000-000042020000}"/>
    <cellStyle name="40% - Accent6 10 4" xfId="614" xr:uid="{00000000-0005-0000-0000-000043020000}"/>
    <cellStyle name="40% - Accent6 10 5" xfId="615" xr:uid="{00000000-0005-0000-0000-000044020000}"/>
    <cellStyle name="40% - Accent6 10 6" xfId="616" xr:uid="{00000000-0005-0000-0000-000045020000}"/>
    <cellStyle name="40% - Accent6 11" xfId="617" xr:uid="{00000000-0005-0000-0000-000046020000}"/>
    <cellStyle name="40% - Accent6 11 2" xfId="618" xr:uid="{00000000-0005-0000-0000-000047020000}"/>
    <cellStyle name="40% - Accent6 11 3" xfId="619" xr:uid="{00000000-0005-0000-0000-000048020000}"/>
    <cellStyle name="40% - Accent6 11 4" xfId="620" xr:uid="{00000000-0005-0000-0000-000049020000}"/>
    <cellStyle name="40% - Accent6 11 5" xfId="621" xr:uid="{00000000-0005-0000-0000-00004A020000}"/>
    <cellStyle name="40% - Accent6 11 6" xfId="622" xr:uid="{00000000-0005-0000-0000-00004B020000}"/>
    <cellStyle name="40% - Accent6 12" xfId="623" xr:uid="{00000000-0005-0000-0000-00004C020000}"/>
    <cellStyle name="40% - Accent6 12 2" xfId="624" xr:uid="{00000000-0005-0000-0000-00004D020000}"/>
    <cellStyle name="40% - Accent6 12 3" xfId="625" xr:uid="{00000000-0005-0000-0000-00004E020000}"/>
    <cellStyle name="40% - Accent6 12 4" xfId="626" xr:uid="{00000000-0005-0000-0000-00004F020000}"/>
    <cellStyle name="40% - Accent6 12 5" xfId="627" xr:uid="{00000000-0005-0000-0000-000050020000}"/>
    <cellStyle name="40% - Accent6 12 6" xfId="628" xr:uid="{00000000-0005-0000-0000-000051020000}"/>
    <cellStyle name="40% - Accent6 13" xfId="629" xr:uid="{00000000-0005-0000-0000-000052020000}"/>
    <cellStyle name="40% - Accent6 13 2" xfId="630" xr:uid="{00000000-0005-0000-0000-000053020000}"/>
    <cellStyle name="40% - Accent6 13 3" xfId="631" xr:uid="{00000000-0005-0000-0000-000054020000}"/>
    <cellStyle name="40% - Accent6 13 4" xfId="632" xr:uid="{00000000-0005-0000-0000-000055020000}"/>
    <cellStyle name="40% - Accent6 13 5" xfId="633" xr:uid="{00000000-0005-0000-0000-000056020000}"/>
    <cellStyle name="40% - Accent6 13 6" xfId="634" xr:uid="{00000000-0005-0000-0000-000057020000}"/>
    <cellStyle name="40% - Accent6 14" xfId="635" xr:uid="{00000000-0005-0000-0000-000058020000}"/>
    <cellStyle name="40% - Accent6 14 2" xfId="636" xr:uid="{00000000-0005-0000-0000-000059020000}"/>
    <cellStyle name="40% - Accent6 15 2" xfId="637" xr:uid="{00000000-0005-0000-0000-00005A020000}"/>
    <cellStyle name="40% - Accent6 16" xfId="638" xr:uid="{00000000-0005-0000-0000-00005B020000}"/>
    <cellStyle name="40% - Accent6 2" xfId="639" xr:uid="{00000000-0005-0000-0000-00005C020000}"/>
    <cellStyle name="40% - Accent6 2 10" xfId="640" xr:uid="{00000000-0005-0000-0000-00005D020000}"/>
    <cellStyle name="40% - Accent6 2 11" xfId="641" xr:uid="{00000000-0005-0000-0000-00005E020000}"/>
    <cellStyle name="40% - Accent6 2 12" xfId="642" xr:uid="{00000000-0005-0000-0000-00005F020000}"/>
    <cellStyle name="40% - Accent6 2 13" xfId="643" xr:uid="{00000000-0005-0000-0000-000060020000}"/>
    <cellStyle name="40% - Accent6 2 2" xfId="644" xr:uid="{00000000-0005-0000-0000-000061020000}"/>
    <cellStyle name="40% - Accent6 2 3" xfId="645" xr:uid="{00000000-0005-0000-0000-000062020000}"/>
    <cellStyle name="40% - Accent6 2 4" xfId="646" xr:uid="{00000000-0005-0000-0000-000063020000}"/>
    <cellStyle name="40% - Accent6 2 5" xfId="647" xr:uid="{00000000-0005-0000-0000-000064020000}"/>
    <cellStyle name="40% - Accent6 2 6" xfId="648" xr:uid="{00000000-0005-0000-0000-000065020000}"/>
    <cellStyle name="40% - Accent6 2 7" xfId="649" xr:uid="{00000000-0005-0000-0000-000066020000}"/>
    <cellStyle name="40% - Accent6 2 8" xfId="650" xr:uid="{00000000-0005-0000-0000-000067020000}"/>
    <cellStyle name="40% - Accent6 2 9" xfId="651" xr:uid="{00000000-0005-0000-0000-000068020000}"/>
    <cellStyle name="40% - Accent6 3" xfId="652" xr:uid="{00000000-0005-0000-0000-000069020000}"/>
    <cellStyle name="40% - Accent6 4" xfId="653" xr:uid="{00000000-0005-0000-0000-00006A020000}"/>
    <cellStyle name="40% - Accent6 5" xfId="654" xr:uid="{00000000-0005-0000-0000-00006B020000}"/>
    <cellStyle name="40% - Accent6 6" xfId="655" xr:uid="{00000000-0005-0000-0000-00006C020000}"/>
    <cellStyle name="40% - Accent6 7" xfId="656" xr:uid="{00000000-0005-0000-0000-00006D020000}"/>
    <cellStyle name="40% - Accent6 8" xfId="657" xr:uid="{00000000-0005-0000-0000-00006E020000}"/>
    <cellStyle name="40% - Accent6 8 2" xfId="658" xr:uid="{00000000-0005-0000-0000-00006F020000}"/>
    <cellStyle name="40% - Accent6 8 3" xfId="659" xr:uid="{00000000-0005-0000-0000-000070020000}"/>
    <cellStyle name="40% - Accent6 9" xfId="660" xr:uid="{00000000-0005-0000-0000-000071020000}"/>
    <cellStyle name="40% - Accent6 9 2" xfId="661" xr:uid="{00000000-0005-0000-0000-000072020000}"/>
    <cellStyle name="40% - Accent6 9 3" xfId="662" xr:uid="{00000000-0005-0000-0000-000073020000}"/>
    <cellStyle name="40% - Accent6 9 4" xfId="663" xr:uid="{00000000-0005-0000-0000-000074020000}"/>
    <cellStyle name="40% - Accent6 9 5" xfId="664" xr:uid="{00000000-0005-0000-0000-000075020000}"/>
    <cellStyle name="40% - Accent6 9 6" xfId="665" xr:uid="{00000000-0005-0000-0000-000076020000}"/>
    <cellStyle name="60% - Accent1 10" xfId="666" xr:uid="{00000000-0005-0000-0000-000077020000}"/>
    <cellStyle name="60% - Accent1 10 4" xfId="667" xr:uid="{00000000-0005-0000-0000-000078020000}"/>
    <cellStyle name="60% - Accent1 10 6" xfId="668" xr:uid="{00000000-0005-0000-0000-000079020000}"/>
    <cellStyle name="60% - Accent1 11" xfId="669" xr:uid="{00000000-0005-0000-0000-00007A020000}"/>
    <cellStyle name="60% - Accent1 11 3" xfId="670" xr:uid="{00000000-0005-0000-0000-00007B020000}"/>
    <cellStyle name="60% - Accent1 11 4" xfId="671" xr:uid="{00000000-0005-0000-0000-00007C020000}"/>
    <cellStyle name="60% - Accent1 12" xfId="672" xr:uid="{00000000-0005-0000-0000-00007D020000}"/>
    <cellStyle name="60% - Accent1 12 3" xfId="673" xr:uid="{00000000-0005-0000-0000-00007E020000}"/>
    <cellStyle name="60% - Accent1 12 4" xfId="674" xr:uid="{00000000-0005-0000-0000-00007F020000}"/>
    <cellStyle name="60% - Accent1 12 5" xfId="675" xr:uid="{00000000-0005-0000-0000-000080020000}"/>
    <cellStyle name="60% - Accent1 12 6" xfId="676" xr:uid="{00000000-0005-0000-0000-000081020000}"/>
    <cellStyle name="60% - Accent1 13" xfId="677" xr:uid="{00000000-0005-0000-0000-000082020000}"/>
    <cellStyle name="60% - Accent1 13 2" xfId="678" xr:uid="{00000000-0005-0000-0000-000083020000}"/>
    <cellStyle name="60% - Accent1 13 3" xfId="679" xr:uid="{00000000-0005-0000-0000-000084020000}"/>
    <cellStyle name="60% - Accent1 13 4" xfId="680" xr:uid="{00000000-0005-0000-0000-000085020000}"/>
    <cellStyle name="60% - Accent1 13 5" xfId="681" xr:uid="{00000000-0005-0000-0000-000086020000}"/>
    <cellStyle name="60% - Accent1 13 6" xfId="682" xr:uid="{00000000-0005-0000-0000-000087020000}"/>
    <cellStyle name="60% - Accent1 14" xfId="683" xr:uid="{00000000-0005-0000-0000-000088020000}"/>
    <cellStyle name="60% - Accent1 14 2" xfId="684" xr:uid="{00000000-0005-0000-0000-000089020000}"/>
    <cellStyle name="60% - Accent1 15" xfId="685" xr:uid="{00000000-0005-0000-0000-00008A020000}"/>
    <cellStyle name="60% - Accent1 15 2" xfId="686" xr:uid="{00000000-0005-0000-0000-00008B020000}"/>
    <cellStyle name="60% - Accent1 2" xfId="687" xr:uid="{00000000-0005-0000-0000-00008C020000}"/>
    <cellStyle name="60% - Accent1 2 10" xfId="688" xr:uid="{00000000-0005-0000-0000-00008D020000}"/>
    <cellStyle name="60% - Accent1 2 11" xfId="689" xr:uid="{00000000-0005-0000-0000-00008E020000}"/>
    <cellStyle name="60% - Accent1 2 12" xfId="690" xr:uid="{00000000-0005-0000-0000-00008F020000}"/>
    <cellStyle name="60% - Accent1 2 13" xfId="691" xr:uid="{00000000-0005-0000-0000-000090020000}"/>
    <cellStyle name="60% - Accent1 2 2" xfId="692" xr:uid="{00000000-0005-0000-0000-000091020000}"/>
    <cellStyle name="60% - Accent1 2 3" xfId="693" xr:uid="{00000000-0005-0000-0000-000092020000}"/>
    <cellStyle name="60% - Accent1 2 4" xfId="694" xr:uid="{00000000-0005-0000-0000-000093020000}"/>
    <cellStyle name="60% - Accent1 2 5" xfId="695" xr:uid="{00000000-0005-0000-0000-000094020000}"/>
    <cellStyle name="60% - Accent1 2 6" xfId="696" xr:uid="{00000000-0005-0000-0000-000095020000}"/>
    <cellStyle name="60% - Accent1 2 7" xfId="697" xr:uid="{00000000-0005-0000-0000-000096020000}"/>
    <cellStyle name="60% - Accent1 2 8" xfId="698" xr:uid="{00000000-0005-0000-0000-000097020000}"/>
    <cellStyle name="60% - Accent1 2 9" xfId="699" xr:uid="{00000000-0005-0000-0000-000098020000}"/>
    <cellStyle name="60% - Accent1 3" xfId="700" xr:uid="{00000000-0005-0000-0000-000099020000}"/>
    <cellStyle name="60% - Accent1 4" xfId="701" xr:uid="{00000000-0005-0000-0000-00009A020000}"/>
    <cellStyle name="60% - Accent1 5" xfId="702" xr:uid="{00000000-0005-0000-0000-00009B020000}"/>
    <cellStyle name="60% - Accent1 6" xfId="703" xr:uid="{00000000-0005-0000-0000-00009C020000}"/>
    <cellStyle name="60% - Accent1 7" xfId="704" xr:uid="{00000000-0005-0000-0000-00009D020000}"/>
    <cellStyle name="60% - Accent1 8" xfId="705" xr:uid="{00000000-0005-0000-0000-00009E020000}"/>
    <cellStyle name="60% - Accent1 8 2" xfId="706" xr:uid="{00000000-0005-0000-0000-00009F020000}"/>
    <cellStyle name="60% - Accent1 8 3" xfId="707" xr:uid="{00000000-0005-0000-0000-0000A0020000}"/>
    <cellStyle name="60% - Accent1 8 4" xfId="708" xr:uid="{00000000-0005-0000-0000-0000A1020000}"/>
    <cellStyle name="60% - Accent1 8 5" xfId="709" xr:uid="{00000000-0005-0000-0000-0000A2020000}"/>
    <cellStyle name="60% - Accent1 8 6" xfId="710" xr:uid="{00000000-0005-0000-0000-0000A3020000}"/>
    <cellStyle name="60% - Accent1 9" xfId="711" xr:uid="{00000000-0005-0000-0000-0000A4020000}"/>
    <cellStyle name="60% - Accent1 9 2" xfId="712" xr:uid="{00000000-0005-0000-0000-0000A5020000}"/>
    <cellStyle name="60% - Accent1 9 3" xfId="713" xr:uid="{00000000-0005-0000-0000-0000A6020000}"/>
    <cellStyle name="60% - Accent1 9 4" xfId="714" xr:uid="{00000000-0005-0000-0000-0000A7020000}"/>
    <cellStyle name="60% - Accent1 9 5" xfId="715" xr:uid="{00000000-0005-0000-0000-0000A8020000}"/>
    <cellStyle name="60% - Accent1 9 6" xfId="716" xr:uid="{00000000-0005-0000-0000-0000A9020000}"/>
    <cellStyle name="60% - Accent2 10" xfId="717" xr:uid="{00000000-0005-0000-0000-0000AA020000}"/>
    <cellStyle name="60% - Accent2 10 2" xfId="718" xr:uid="{00000000-0005-0000-0000-0000AB020000}"/>
    <cellStyle name="60% - Accent2 10 3" xfId="719" xr:uid="{00000000-0005-0000-0000-0000AC020000}"/>
    <cellStyle name="60% - Accent2 10 4" xfId="720" xr:uid="{00000000-0005-0000-0000-0000AD020000}"/>
    <cellStyle name="60% - Accent2 10 5" xfId="721" xr:uid="{00000000-0005-0000-0000-0000AE020000}"/>
    <cellStyle name="60% - Accent2 10 6" xfId="722" xr:uid="{00000000-0005-0000-0000-0000AF020000}"/>
    <cellStyle name="60% - Accent2 11" xfId="723" xr:uid="{00000000-0005-0000-0000-0000B0020000}"/>
    <cellStyle name="60% - Accent2 11 2" xfId="724" xr:uid="{00000000-0005-0000-0000-0000B1020000}"/>
    <cellStyle name="60% - Accent2 11 3" xfId="725" xr:uid="{00000000-0005-0000-0000-0000B2020000}"/>
    <cellStyle name="60% - Accent2 11 4" xfId="726" xr:uid="{00000000-0005-0000-0000-0000B3020000}"/>
    <cellStyle name="60% - Accent2 11 5" xfId="727" xr:uid="{00000000-0005-0000-0000-0000B4020000}"/>
    <cellStyle name="60% - Accent2 12" xfId="728" xr:uid="{00000000-0005-0000-0000-0000B5020000}"/>
    <cellStyle name="60% - Accent2 12 3" xfId="729" xr:uid="{00000000-0005-0000-0000-0000B6020000}"/>
    <cellStyle name="60% - Accent2 12 4" xfId="730" xr:uid="{00000000-0005-0000-0000-0000B7020000}"/>
    <cellStyle name="60% - Accent2 12 5" xfId="731" xr:uid="{00000000-0005-0000-0000-0000B8020000}"/>
    <cellStyle name="60% - Accent2 12 6" xfId="732" xr:uid="{00000000-0005-0000-0000-0000B9020000}"/>
    <cellStyle name="60% - Accent2 13" xfId="733" xr:uid="{00000000-0005-0000-0000-0000BA020000}"/>
    <cellStyle name="60% - Accent2 13 2" xfId="734" xr:uid="{00000000-0005-0000-0000-0000BB020000}"/>
    <cellStyle name="60% - Accent2 13 4" xfId="735" xr:uid="{00000000-0005-0000-0000-0000BC020000}"/>
    <cellStyle name="60% - Accent2 14" xfId="736" xr:uid="{00000000-0005-0000-0000-0000BD020000}"/>
    <cellStyle name="60% - Accent2 15" xfId="737" xr:uid="{00000000-0005-0000-0000-0000BE020000}"/>
    <cellStyle name="60% - Accent2 16" xfId="738" xr:uid="{00000000-0005-0000-0000-0000BF020000}"/>
    <cellStyle name="60% - Accent2 2" xfId="739" xr:uid="{00000000-0005-0000-0000-0000C0020000}"/>
    <cellStyle name="60% - Accent2 2 11" xfId="740" xr:uid="{00000000-0005-0000-0000-0000C1020000}"/>
    <cellStyle name="60% - Accent2 2 12" xfId="741" xr:uid="{00000000-0005-0000-0000-0000C2020000}"/>
    <cellStyle name="60% - Accent2 2 13" xfId="742" xr:uid="{00000000-0005-0000-0000-0000C3020000}"/>
    <cellStyle name="60% - Accent2 2 4" xfId="743" xr:uid="{00000000-0005-0000-0000-0000C4020000}"/>
    <cellStyle name="60% - Accent2 2 6" xfId="744" xr:uid="{00000000-0005-0000-0000-0000C5020000}"/>
    <cellStyle name="60% - Accent2 2 7" xfId="745" xr:uid="{00000000-0005-0000-0000-0000C6020000}"/>
    <cellStyle name="60% - Accent2 2 8" xfId="746" xr:uid="{00000000-0005-0000-0000-0000C7020000}"/>
    <cellStyle name="60% - Accent2 2 9" xfId="747" xr:uid="{00000000-0005-0000-0000-0000C8020000}"/>
    <cellStyle name="60% - Accent2 3" xfId="748" xr:uid="{00000000-0005-0000-0000-0000C9020000}"/>
    <cellStyle name="60% - Accent2 4" xfId="749" xr:uid="{00000000-0005-0000-0000-0000CA020000}"/>
    <cellStyle name="60% - Accent2 5" xfId="750" xr:uid="{00000000-0005-0000-0000-0000CB020000}"/>
    <cellStyle name="60% - Accent2 6" xfId="751" xr:uid="{00000000-0005-0000-0000-0000CC020000}"/>
    <cellStyle name="60% - Accent2 7" xfId="752" xr:uid="{00000000-0005-0000-0000-0000CD020000}"/>
    <cellStyle name="60% - Accent2 8" xfId="753" xr:uid="{00000000-0005-0000-0000-0000CE020000}"/>
    <cellStyle name="60% - Accent2 8 2" xfId="754" xr:uid="{00000000-0005-0000-0000-0000CF020000}"/>
    <cellStyle name="60% - Accent2 8 3" xfId="755" xr:uid="{00000000-0005-0000-0000-0000D0020000}"/>
    <cellStyle name="60% - Accent2 8 4" xfId="756" xr:uid="{00000000-0005-0000-0000-0000D1020000}"/>
    <cellStyle name="60% - Accent2 8 5" xfId="757" xr:uid="{00000000-0005-0000-0000-0000D2020000}"/>
    <cellStyle name="60% - Accent2 8 6" xfId="758" xr:uid="{00000000-0005-0000-0000-0000D3020000}"/>
    <cellStyle name="60% - Accent2 9" xfId="759" xr:uid="{00000000-0005-0000-0000-0000D4020000}"/>
    <cellStyle name="60% - Accent2 9 2" xfId="760" xr:uid="{00000000-0005-0000-0000-0000D5020000}"/>
    <cellStyle name="60% - Accent2 9 3" xfId="761" xr:uid="{00000000-0005-0000-0000-0000D6020000}"/>
    <cellStyle name="60% - Accent2 9 4" xfId="762" xr:uid="{00000000-0005-0000-0000-0000D7020000}"/>
    <cellStyle name="60% - Accent2 9 5" xfId="763" xr:uid="{00000000-0005-0000-0000-0000D8020000}"/>
    <cellStyle name="60% - Accent2 9 6" xfId="764" xr:uid="{00000000-0005-0000-0000-0000D9020000}"/>
    <cellStyle name="60% - Accent3 10" xfId="765" xr:uid="{00000000-0005-0000-0000-0000DA020000}"/>
    <cellStyle name="60% - Accent3 10 2" xfId="766" xr:uid="{00000000-0005-0000-0000-0000DB020000}"/>
    <cellStyle name="60% - Accent3 10 3" xfId="767" xr:uid="{00000000-0005-0000-0000-0000DC020000}"/>
    <cellStyle name="60% - Accent3 10 4" xfId="768" xr:uid="{00000000-0005-0000-0000-0000DD020000}"/>
    <cellStyle name="60% - Accent3 10 5" xfId="769" xr:uid="{00000000-0005-0000-0000-0000DE020000}"/>
    <cellStyle name="60% - Accent3 10 6" xfId="770" xr:uid="{00000000-0005-0000-0000-0000DF020000}"/>
    <cellStyle name="60% - Accent3 11" xfId="771" xr:uid="{00000000-0005-0000-0000-0000E0020000}"/>
    <cellStyle name="60% - Accent3 11 2" xfId="772" xr:uid="{00000000-0005-0000-0000-0000E1020000}"/>
    <cellStyle name="60% - Accent3 11 3" xfId="773" xr:uid="{00000000-0005-0000-0000-0000E2020000}"/>
    <cellStyle name="60% - Accent3 11 4" xfId="774" xr:uid="{00000000-0005-0000-0000-0000E3020000}"/>
    <cellStyle name="60% - Accent3 11 5" xfId="775" xr:uid="{00000000-0005-0000-0000-0000E4020000}"/>
    <cellStyle name="60% - Accent3 11 6" xfId="776" xr:uid="{00000000-0005-0000-0000-0000E5020000}"/>
    <cellStyle name="60% - Accent3 12" xfId="777" xr:uid="{00000000-0005-0000-0000-0000E6020000}"/>
    <cellStyle name="60% - Accent3 12 2" xfId="778" xr:uid="{00000000-0005-0000-0000-0000E7020000}"/>
    <cellStyle name="60% - Accent3 12 3" xfId="779" xr:uid="{00000000-0005-0000-0000-0000E8020000}"/>
    <cellStyle name="60% - Accent3 12 4" xfId="780" xr:uid="{00000000-0005-0000-0000-0000E9020000}"/>
    <cellStyle name="60% - Accent3 12 5" xfId="781" xr:uid="{00000000-0005-0000-0000-0000EA020000}"/>
    <cellStyle name="60% - Accent3 12 6" xfId="782" xr:uid="{00000000-0005-0000-0000-0000EB020000}"/>
    <cellStyle name="60% - Accent3 13" xfId="783" xr:uid="{00000000-0005-0000-0000-0000EC020000}"/>
    <cellStyle name="60% - Accent3 13 2" xfId="784" xr:uid="{00000000-0005-0000-0000-0000ED020000}"/>
    <cellStyle name="60% - Accent3 13 3" xfId="785" xr:uid="{00000000-0005-0000-0000-0000EE020000}"/>
    <cellStyle name="60% - Accent3 13 4" xfId="786" xr:uid="{00000000-0005-0000-0000-0000EF020000}"/>
    <cellStyle name="60% - Accent3 13 5" xfId="787" xr:uid="{00000000-0005-0000-0000-0000F0020000}"/>
    <cellStyle name="60% - Accent3 13 6" xfId="788" xr:uid="{00000000-0005-0000-0000-0000F1020000}"/>
    <cellStyle name="60% - Accent3 14" xfId="789" xr:uid="{00000000-0005-0000-0000-0000F2020000}"/>
    <cellStyle name="60% - Accent3 14 2" xfId="790" xr:uid="{00000000-0005-0000-0000-0000F3020000}"/>
    <cellStyle name="60% - Accent3 15 2" xfId="791" xr:uid="{00000000-0005-0000-0000-0000F4020000}"/>
    <cellStyle name="60% - Accent3 16" xfId="792" xr:uid="{00000000-0005-0000-0000-0000F5020000}"/>
    <cellStyle name="60% - Accent3 2" xfId="793" xr:uid="{00000000-0005-0000-0000-0000F6020000}"/>
    <cellStyle name="60% - Accent3 2 10" xfId="794" xr:uid="{00000000-0005-0000-0000-0000F7020000}"/>
    <cellStyle name="60% - Accent3 2 11" xfId="795" xr:uid="{00000000-0005-0000-0000-0000F8020000}"/>
    <cellStyle name="60% - Accent3 2 3" xfId="796" xr:uid="{00000000-0005-0000-0000-0000F9020000}"/>
    <cellStyle name="60% - Accent3 2 4" xfId="797" xr:uid="{00000000-0005-0000-0000-0000FA020000}"/>
    <cellStyle name="60% - Accent3 2 5" xfId="798" xr:uid="{00000000-0005-0000-0000-0000FB020000}"/>
    <cellStyle name="60% - Accent3 2 6" xfId="799" xr:uid="{00000000-0005-0000-0000-0000FC020000}"/>
    <cellStyle name="60% - Accent3 2 7" xfId="800" xr:uid="{00000000-0005-0000-0000-0000FD020000}"/>
    <cellStyle name="60% - Accent3 2 8" xfId="801" xr:uid="{00000000-0005-0000-0000-0000FE020000}"/>
    <cellStyle name="60% - Accent3 2 9" xfId="802" xr:uid="{00000000-0005-0000-0000-0000FF020000}"/>
    <cellStyle name="60% - Accent3 3" xfId="803" xr:uid="{00000000-0005-0000-0000-000000030000}"/>
    <cellStyle name="60% - Accent3 4" xfId="804" xr:uid="{00000000-0005-0000-0000-000001030000}"/>
    <cellStyle name="60% - Accent3 5" xfId="805" xr:uid="{00000000-0005-0000-0000-000002030000}"/>
    <cellStyle name="60% - Accent3 6" xfId="806" xr:uid="{00000000-0005-0000-0000-000003030000}"/>
    <cellStyle name="60% - Accent3 7" xfId="807" xr:uid="{00000000-0005-0000-0000-000004030000}"/>
    <cellStyle name="60% - Accent3 8" xfId="808" xr:uid="{00000000-0005-0000-0000-000005030000}"/>
    <cellStyle name="60% - Accent3 8 3" xfId="809" xr:uid="{00000000-0005-0000-0000-000006030000}"/>
    <cellStyle name="60% - Accent3 8 5" xfId="810" xr:uid="{00000000-0005-0000-0000-000007030000}"/>
    <cellStyle name="60% - Accent3 8 6" xfId="811" xr:uid="{00000000-0005-0000-0000-000008030000}"/>
    <cellStyle name="60% - Accent3 9" xfId="812" xr:uid="{00000000-0005-0000-0000-000009030000}"/>
    <cellStyle name="60% - Accent3 9 2" xfId="813" xr:uid="{00000000-0005-0000-0000-00000A030000}"/>
    <cellStyle name="60% - Accent3 9 3" xfId="814" xr:uid="{00000000-0005-0000-0000-00000B030000}"/>
    <cellStyle name="60% - Accent3 9 4" xfId="815" xr:uid="{00000000-0005-0000-0000-00000C030000}"/>
    <cellStyle name="60% - Accent3 9 5" xfId="816" xr:uid="{00000000-0005-0000-0000-00000D030000}"/>
    <cellStyle name="60% - Accent4 10" xfId="817" xr:uid="{00000000-0005-0000-0000-00000E030000}"/>
    <cellStyle name="60% - Accent4 10 3" xfId="818" xr:uid="{00000000-0005-0000-0000-00000F030000}"/>
    <cellStyle name="60% - Accent4 10 4" xfId="819" xr:uid="{00000000-0005-0000-0000-000010030000}"/>
    <cellStyle name="60% - Accent4 10 5" xfId="820" xr:uid="{00000000-0005-0000-0000-000011030000}"/>
    <cellStyle name="60% - Accent4 10 6" xfId="821" xr:uid="{00000000-0005-0000-0000-000012030000}"/>
    <cellStyle name="60% - Accent4 11" xfId="822" xr:uid="{00000000-0005-0000-0000-000013030000}"/>
    <cellStyle name="60% - Accent4 11 2" xfId="823" xr:uid="{00000000-0005-0000-0000-000014030000}"/>
    <cellStyle name="60% - Accent4 11 3" xfId="824" xr:uid="{00000000-0005-0000-0000-000015030000}"/>
    <cellStyle name="60% - Accent4 11 4" xfId="825" xr:uid="{00000000-0005-0000-0000-000016030000}"/>
    <cellStyle name="60% - Accent4 11 5" xfId="826" xr:uid="{00000000-0005-0000-0000-000017030000}"/>
    <cellStyle name="60% - Accent4 11 6" xfId="827" xr:uid="{00000000-0005-0000-0000-000018030000}"/>
    <cellStyle name="60% - Accent4 12" xfId="828" xr:uid="{00000000-0005-0000-0000-000019030000}"/>
    <cellStyle name="60% - Accent4 12 2" xfId="829" xr:uid="{00000000-0005-0000-0000-00001A030000}"/>
    <cellStyle name="60% - Accent4 12 3" xfId="830" xr:uid="{00000000-0005-0000-0000-00001B030000}"/>
    <cellStyle name="60% - Accent4 12 4" xfId="831" xr:uid="{00000000-0005-0000-0000-00001C030000}"/>
    <cellStyle name="60% - Accent4 12 5" xfId="832" xr:uid="{00000000-0005-0000-0000-00001D030000}"/>
    <cellStyle name="60% - Accent4 12 6" xfId="833" xr:uid="{00000000-0005-0000-0000-00001E030000}"/>
    <cellStyle name="60% - Accent4 13" xfId="834" xr:uid="{00000000-0005-0000-0000-00001F030000}"/>
    <cellStyle name="60% - Accent4 13 2" xfId="835" xr:uid="{00000000-0005-0000-0000-000020030000}"/>
    <cellStyle name="60% - Accent4 13 3" xfId="836" xr:uid="{00000000-0005-0000-0000-000021030000}"/>
    <cellStyle name="60% - Accent4 13 4" xfId="837" xr:uid="{00000000-0005-0000-0000-000022030000}"/>
    <cellStyle name="60% - Accent4 13 5" xfId="838" xr:uid="{00000000-0005-0000-0000-000023030000}"/>
    <cellStyle name="60% - Accent4 13 6" xfId="839" xr:uid="{00000000-0005-0000-0000-000024030000}"/>
    <cellStyle name="60% - Accent4 14" xfId="840" xr:uid="{00000000-0005-0000-0000-000025030000}"/>
    <cellStyle name="60% - Accent4 14 2" xfId="841" xr:uid="{00000000-0005-0000-0000-000026030000}"/>
    <cellStyle name="60% - Accent4 15 2" xfId="842" xr:uid="{00000000-0005-0000-0000-000027030000}"/>
    <cellStyle name="60% - Accent4 16" xfId="843" xr:uid="{00000000-0005-0000-0000-000028030000}"/>
    <cellStyle name="60% - Accent4 2" xfId="844" xr:uid="{00000000-0005-0000-0000-000029030000}"/>
    <cellStyle name="60% - Accent4 2 10" xfId="845" xr:uid="{00000000-0005-0000-0000-00002A030000}"/>
    <cellStyle name="60% - Accent4 2 11" xfId="846" xr:uid="{00000000-0005-0000-0000-00002B030000}"/>
    <cellStyle name="60% - Accent4 2 12" xfId="847" xr:uid="{00000000-0005-0000-0000-00002C030000}"/>
    <cellStyle name="60% - Accent4 2 13" xfId="848" xr:uid="{00000000-0005-0000-0000-00002D030000}"/>
    <cellStyle name="60% - Accent4 2 2" xfId="849" xr:uid="{00000000-0005-0000-0000-00002E030000}"/>
    <cellStyle name="60% - Accent4 2 3" xfId="850" xr:uid="{00000000-0005-0000-0000-00002F030000}"/>
    <cellStyle name="60% - Accent4 2 4" xfId="851" xr:uid="{00000000-0005-0000-0000-000030030000}"/>
    <cellStyle name="60% - Accent4 2 5" xfId="852" xr:uid="{00000000-0005-0000-0000-000031030000}"/>
    <cellStyle name="60% - Accent4 2 6" xfId="853" xr:uid="{00000000-0005-0000-0000-000032030000}"/>
    <cellStyle name="60% - Accent4 2 7" xfId="854" xr:uid="{00000000-0005-0000-0000-000033030000}"/>
    <cellStyle name="60% - Accent4 2 8" xfId="855" xr:uid="{00000000-0005-0000-0000-000034030000}"/>
    <cellStyle name="60% - Accent4 2 9" xfId="856" xr:uid="{00000000-0005-0000-0000-000035030000}"/>
    <cellStyle name="60% - Accent4 3" xfId="857" xr:uid="{00000000-0005-0000-0000-000036030000}"/>
    <cellStyle name="60% - Accent4 4" xfId="858" xr:uid="{00000000-0005-0000-0000-000037030000}"/>
    <cellStyle name="60% - Accent4 5" xfId="859" xr:uid="{00000000-0005-0000-0000-000038030000}"/>
    <cellStyle name="60% - Accent4 6" xfId="860" xr:uid="{00000000-0005-0000-0000-000039030000}"/>
    <cellStyle name="60% - Accent4 7" xfId="861" xr:uid="{00000000-0005-0000-0000-00003A030000}"/>
    <cellStyle name="60% - Accent4 8" xfId="862" xr:uid="{00000000-0005-0000-0000-00003B030000}"/>
    <cellStyle name="60% - Accent4 8 2" xfId="863" xr:uid="{00000000-0005-0000-0000-00003C030000}"/>
    <cellStyle name="60% - Accent4 8 3" xfId="864" xr:uid="{00000000-0005-0000-0000-00003D030000}"/>
    <cellStyle name="60% - Accent4 8 4" xfId="865" xr:uid="{00000000-0005-0000-0000-00003E030000}"/>
    <cellStyle name="60% - Accent4 8 5" xfId="866" xr:uid="{00000000-0005-0000-0000-00003F030000}"/>
    <cellStyle name="60% - Accent4 8 6" xfId="867" xr:uid="{00000000-0005-0000-0000-000040030000}"/>
    <cellStyle name="60% - Accent4 9" xfId="868" xr:uid="{00000000-0005-0000-0000-000041030000}"/>
    <cellStyle name="60% - Accent4 9 4" xfId="869" xr:uid="{00000000-0005-0000-0000-000042030000}"/>
    <cellStyle name="60% - Accent4 9 5" xfId="870" xr:uid="{00000000-0005-0000-0000-000043030000}"/>
    <cellStyle name="60% - Accent4 9 6" xfId="871" xr:uid="{00000000-0005-0000-0000-000044030000}"/>
    <cellStyle name="60% - Accent5 10" xfId="872" xr:uid="{00000000-0005-0000-0000-000045030000}"/>
    <cellStyle name="60% - Accent5 10 2" xfId="873" xr:uid="{00000000-0005-0000-0000-000046030000}"/>
    <cellStyle name="60% - Accent5 10 3" xfId="874" xr:uid="{00000000-0005-0000-0000-000047030000}"/>
    <cellStyle name="60% - Accent5 10 4" xfId="875" xr:uid="{00000000-0005-0000-0000-000048030000}"/>
    <cellStyle name="60% - Accent5 10 6" xfId="876" xr:uid="{00000000-0005-0000-0000-000049030000}"/>
    <cellStyle name="60% - Accent5 11" xfId="877" xr:uid="{00000000-0005-0000-0000-00004A030000}"/>
    <cellStyle name="60% - Accent5 11 3" xfId="878" xr:uid="{00000000-0005-0000-0000-00004B030000}"/>
    <cellStyle name="60% - Accent5 11 4" xfId="879" xr:uid="{00000000-0005-0000-0000-00004C030000}"/>
    <cellStyle name="60% - Accent5 11 5" xfId="880" xr:uid="{00000000-0005-0000-0000-00004D030000}"/>
    <cellStyle name="60% - Accent5 12" xfId="881" xr:uid="{00000000-0005-0000-0000-00004E030000}"/>
    <cellStyle name="60% - Accent5 12 3" xfId="882" xr:uid="{00000000-0005-0000-0000-00004F030000}"/>
    <cellStyle name="60% - Accent5 12 4" xfId="883" xr:uid="{00000000-0005-0000-0000-000050030000}"/>
    <cellStyle name="60% - Accent5 12 6" xfId="884" xr:uid="{00000000-0005-0000-0000-000051030000}"/>
    <cellStyle name="60% - Accent5 13" xfId="885" xr:uid="{00000000-0005-0000-0000-000052030000}"/>
    <cellStyle name="60% - Accent5 13 2" xfId="886" xr:uid="{00000000-0005-0000-0000-000053030000}"/>
    <cellStyle name="60% - Accent5 13 3" xfId="887" xr:uid="{00000000-0005-0000-0000-000054030000}"/>
    <cellStyle name="60% - Accent5 13 5" xfId="888" xr:uid="{00000000-0005-0000-0000-000055030000}"/>
    <cellStyle name="60% - Accent5 14" xfId="889" xr:uid="{00000000-0005-0000-0000-000056030000}"/>
    <cellStyle name="60% - Accent5 15" xfId="890" xr:uid="{00000000-0005-0000-0000-000057030000}"/>
    <cellStyle name="60% - Accent5 15 2" xfId="891" xr:uid="{00000000-0005-0000-0000-000058030000}"/>
    <cellStyle name="60% - Accent5 16" xfId="892" xr:uid="{00000000-0005-0000-0000-000059030000}"/>
    <cellStyle name="60% - Accent5 2" xfId="893" xr:uid="{00000000-0005-0000-0000-00005A030000}"/>
    <cellStyle name="60% - Accent5 2 10" xfId="894" xr:uid="{00000000-0005-0000-0000-00005B030000}"/>
    <cellStyle name="60% - Accent5 2 11" xfId="895" xr:uid="{00000000-0005-0000-0000-00005C030000}"/>
    <cellStyle name="60% - Accent5 2 12" xfId="896" xr:uid="{00000000-0005-0000-0000-00005D030000}"/>
    <cellStyle name="60% - Accent5 2 13" xfId="897" xr:uid="{00000000-0005-0000-0000-00005E030000}"/>
    <cellStyle name="60% - Accent5 2 2" xfId="898" xr:uid="{00000000-0005-0000-0000-00005F030000}"/>
    <cellStyle name="60% - Accent5 2 3" xfId="899" xr:uid="{00000000-0005-0000-0000-000060030000}"/>
    <cellStyle name="60% - Accent5 2 4" xfId="900" xr:uid="{00000000-0005-0000-0000-000061030000}"/>
    <cellStyle name="60% - Accent5 2 5" xfId="901" xr:uid="{00000000-0005-0000-0000-000062030000}"/>
    <cellStyle name="60% - Accent5 2 6" xfId="902" xr:uid="{00000000-0005-0000-0000-000063030000}"/>
    <cellStyle name="60% - Accent5 2 7" xfId="903" xr:uid="{00000000-0005-0000-0000-000064030000}"/>
    <cellStyle name="60% - Accent5 2 8" xfId="904" xr:uid="{00000000-0005-0000-0000-000065030000}"/>
    <cellStyle name="60% - Accent5 2 9" xfId="905" xr:uid="{00000000-0005-0000-0000-000066030000}"/>
    <cellStyle name="60% - Accent5 3" xfId="906" xr:uid="{00000000-0005-0000-0000-000067030000}"/>
    <cellStyle name="60% - Accent5 4" xfId="907" xr:uid="{00000000-0005-0000-0000-000068030000}"/>
    <cellStyle name="60% - Accent5 5" xfId="908" xr:uid="{00000000-0005-0000-0000-000069030000}"/>
    <cellStyle name="60% - Accent5 6" xfId="909" xr:uid="{00000000-0005-0000-0000-00006A030000}"/>
    <cellStyle name="60% - Accent5 7" xfId="910" xr:uid="{00000000-0005-0000-0000-00006B030000}"/>
    <cellStyle name="60% - Accent5 8" xfId="911" xr:uid="{00000000-0005-0000-0000-00006C030000}"/>
    <cellStyle name="60% - Accent5 8 2" xfId="912" xr:uid="{00000000-0005-0000-0000-00006D030000}"/>
    <cellStyle name="60% - Accent5 8 3" xfId="913" xr:uid="{00000000-0005-0000-0000-00006E030000}"/>
    <cellStyle name="60% - Accent5 8 4" xfId="914" xr:uid="{00000000-0005-0000-0000-00006F030000}"/>
    <cellStyle name="60% - Accent5 8 5" xfId="915" xr:uid="{00000000-0005-0000-0000-000070030000}"/>
    <cellStyle name="60% - Accent5 8 6" xfId="916" xr:uid="{00000000-0005-0000-0000-000071030000}"/>
    <cellStyle name="60% - Accent5 9" xfId="917" xr:uid="{00000000-0005-0000-0000-000072030000}"/>
    <cellStyle name="60% - Accent5 9 2" xfId="918" xr:uid="{00000000-0005-0000-0000-000073030000}"/>
    <cellStyle name="60% - Accent5 9 3" xfId="919" xr:uid="{00000000-0005-0000-0000-000074030000}"/>
    <cellStyle name="60% - Accent5 9 4" xfId="920" xr:uid="{00000000-0005-0000-0000-000075030000}"/>
    <cellStyle name="60% - Accent5 9 5" xfId="921" xr:uid="{00000000-0005-0000-0000-000076030000}"/>
    <cellStyle name="60% - Accent5 9 6" xfId="922" xr:uid="{00000000-0005-0000-0000-000077030000}"/>
    <cellStyle name="60% - Accent6 10" xfId="923" xr:uid="{00000000-0005-0000-0000-000078030000}"/>
    <cellStyle name="60% - Accent6 10 2" xfId="924" xr:uid="{00000000-0005-0000-0000-000079030000}"/>
    <cellStyle name="60% - Accent6 10 3" xfId="925" xr:uid="{00000000-0005-0000-0000-00007A030000}"/>
    <cellStyle name="60% - Accent6 10 4" xfId="926" xr:uid="{00000000-0005-0000-0000-00007B030000}"/>
    <cellStyle name="60% - Accent6 10 5" xfId="927" xr:uid="{00000000-0005-0000-0000-00007C030000}"/>
    <cellStyle name="60% - Accent6 10 6" xfId="928" xr:uid="{00000000-0005-0000-0000-00007D030000}"/>
    <cellStyle name="60% - Accent6 11" xfId="929" xr:uid="{00000000-0005-0000-0000-00007E030000}"/>
    <cellStyle name="60% - Accent6 11 2" xfId="930" xr:uid="{00000000-0005-0000-0000-00007F030000}"/>
    <cellStyle name="60% - Accent6 11 3" xfId="931" xr:uid="{00000000-0005-0000-0000-000080030000}"/>
    <cellStyle name="60% - Accent6 11 4" xfId="932" xr:uid="{00000000-0005-0000-0000-000081030000}"/>
    <cellStyle name="60% - Accent6 11 5" xfId="933" xr:uid="{00000000-0005-0000-0000-000082030000}"/>
    <cellStyle name="60% - Accent6 11 6" xfId="934" xr:uid="{00000000-0005-0000-0000-000083030000}"/>
    <cellStyle name="60% - Accent6 12" xfId="935" xr:uid="{00000000-0005-0000-0000-000084030000}"/>
    <cellStyle name="60% - Accent6 12 2" xfId="936" xr:uid="{00000000-0005-0000-0000-000085030000}"/>
    <cellStyle name="60% - Accent6 12 6" xfId="937" xr:uid="{00000000-0005-0000-0000-000086030000}"/>
    <cellStyle name="60% - Accent6 13" xfId="938" xr:uid="{00000000-0005-0000-0000-000087030000}"/>
    <cellStyle name="60% - Accent6 13 2" xfId="939" xr:uid="{00000000-0005-0000-0000-000088030000}"/>
    <cellStyle name="60% - Accent6 13 3" xfId="940" xr:uid="{00000000-0005-0000-0000-000089030000}"/>
    <cellStyle name="60% - Accent6 13 4" xfId="941" xr:uid="{00000000-0005-0000-0000-00008A030000}"/>
    <cellStyle name="60% - Accent6 13 5" xfId="942" xr:uid="{00000000-0005-0000-0000-00008B030000}"/>
    <cellStyle name="60% - Accent6 13 6" xfId="943" xr:uid="{00000000-0005-0000-0000-00008C030000}"/>
    <cellStyle name="60% - Accent6 14" xfId="944" xr:uid="{00000000-0005-0000-0000-00008D030000}"/>
    <cellStyle name="60% - Accent6 14 2" xfId="945" xr:uid="{00000000-0005-0000-0000-00008E030000}"/>
    <cellStyle name="60% - Accent6 15" xfId="946" xr:uid="{00000000-0005-0000-0000-00008F030000}"/>
    <cellStyle name="60% - Accent6 15 2" xfId="947" xr:uid="{00000000-0005-0000-0000-000090030000}"/>
    <cellStyle name="60% - Accent6 2" xfId="948" xr:uid="{00000000-0005-0000-0000-000091030000}"/>
    <cellStyle name="60% - Accent6 2 10" xfId="949" xr:uid="{00000000-0005-0000-0000-000092030000}"/>
    <cellStyle name="60% - Accent6 2 11" xfId="950" xr:uid="{00000000-0005-0000-0000-000093030000}"/>
    <cellStyle name="60% - Accent6 2 12" xfId="951" xr:uid="{00000000-0005-0000-0000-000094030000}"/>
    <cellStyle name="60% - Accent6 2 13" xfId="952" xr:uid="{00000000-0005-0000-0000-000095030000}"/>
    <cellStyle name="60% - Accent6 2 3" xfId="953" xr:uid="{00000000-0005-0000-0000-000096030000}"/>
    <cellStyle name="60% - Accent6 2 5" xfId="954" xr:uid="{00000000-0005-0000-0000-000097030000}"/>
    <cellStyle name="60% - Accent6 2 6" xfId="955" xr:uid="{00000000-0005-0000-0000-000098030000}"/>
    <cellStyle name="60% - Accent6 2 8" xfId="956" xr:uid="{00000000-0005-0000-0000-000099030000}"/>
    <cellStyle name="60% - Accent6 2 9" xfId="957" xr:uid="{00000000-0005-0000-0000-00009A030000}"/>
    <cellStyle name="60% - Accent6 3" xfId="958" xr:uid="{00000000-0005-0000-0000-00009B030000}"/>
    <cellStyle name="60% - Accent6 4" xfId="959" xr:uid="{00000000-0005-0000-0000-00009C030000}"/>
    <cellStyle name="60% - Accent6 5" xfId="960" xr:uid="{00000000-0005-0000-0000-00009D030000}"/>
    <cellStyle name="60% - Accent6 6" xfId="961" xr:uid="{00000000-0005-0000-0000-00009E030000}"/>
    <cellStyle name="60% - Accent6 7" xfId="962" xr:uid="{00000000-0005-0000-0000-00009F030000}"/>
    <cellStyle name="60% - Accent6 8" xfId="963" xr:uid="{00000000-0005-0000-0000-0000A0030000}"/>
    <cellStyle name="60% - Accent6 8 2" xfId="964" xr:uid="{00000000-0005-0000-0000-0000A1030000}"/>
    <cellStyle name="60% - Accent6 8 4" xfId="965" xr:uid="{00000000-0005-0000-0000-0000A2030000}"/>
    <cellStyle name="60% - Accent6 8 5" xfId="966" xr:uid="{00000000-0005-0000-0000-0000A3030000}"/>
    <cellStyle name="60% - Accent6 8 6" xfId="967" xr:uid="{00000000-0005-0000-0000-0000A4030000}"/>
    <cellStyle name="60% - Accent6 9" xfId="968" xr:uid="{00000000-0005-0000-0000-0000A5030000}"/>
    <cellStyle name="60% - Accent6 9 2" xfId="969" xr:uid="{00000000-0005-0000-0000-0000A6030000}"/>
    <cellStyle name="60% - Accent6 9 3" xfId="970" xr:uid="{00000000-0005-0000-0000-0000A7030000}"/>
    <cellStyle name="60% - Accent6 9 4" xfId="971" xr:uid="{00000000-0005-0000-0000-0000A8030000}"/>
    <cellStyle name="60% - Accent6 9 5" xfId="972" xr:uid="{00000000-0005-0000-0000-0000A9030000}"/>
    <cellStyle name="60% - Accent6 9 6" xfId="973" xr:uid="{00000000-0005-0000-0000-0000AA030000}"/>
    <cellStyle name="Accent1 10" xfId="974" xr:uid="{00000000-0005-0000-0000-0000AB030000}"/>
    <cellStyle name="Accent1 10 2" xfId="975" xr:uid="{00000000-0005-0000-0000-0000AC030000}"/>
    <cellStyle name="Accent1 10 3" xfId="976" xr:uid="{00000000-0005-0000-0000-0000AD030000}"/>
    <cellStyle name="Accent1 10 4" xfId="977" xr:uid="{00000000-0005-0000-0000-0000AE030000}"/>
    <cellStyle name="Accent1 10 5" xfId="978" xr:uid="{00000000-0005-0000-0000-0000AF030000}"/>
    <cellStyle name="Accent1 10 6" xfId="979" xr:uid="{00000000-0005-0000-0000-0000B0030000}"/>
    <cellStyle name="Accent1 11" xfId="980" xr:uid="{00000000-0005-0000-0000-0000B1030000}"/>
    <cellStyle name="Accent1 11 2" xfId="981" xr:uid="{00000000-0005-0000-0000-0000B2030000}"/>
    <cellStyle name="Accent1 11 3" xfId="982" xr:uid="{00000000-0005-0000-0000-0000B3030000}"/>
    <cellStyle name="Accent1 11 4" xfId="983" xr:uid="{00000000-0005-0000-0000-0000B4030000}"/>
    <cellStyle name="Accent1 11 5" xfId="984" xr:uid="{00000000-0005-0000-0000-0000B5030000}"/>
    <cellStyle name="Accent1 11 6" xfId="985" xr:uid="{00000000-0005-0000-0000-0000B6030000}"/>
    <cellStyle name="Accent1 12" xfId="986" xr:uid="{00000000-0005-0000-0000-0000B7030000}"/>
    <cellStyle name="Accent1 12 2" xfId="987" xr:uid="{00000000-0005-0000-0000-0000B8030000}"/>
    <cellStyle name="Accent1 12 3" xfId="988" xr:uid="{00000000-0005-0000-0000-0000B9030000}"/>
    <cellStyle name="Accent1 12 4" xfId="989" xr:uid="{00000000-0005-0000-0000-0000BA030000}"/>
    <cellStyle name="Accent1 12 5" xfId="990" xr:uid="{00000000-0005-0000-0000-0000BB030000}"/>
    <cellStyle name="Accent1 12 6" xfId="991" xr:uid="{00000000-0005-0000-0000-0000BC030000}"/>
    <cellStyle name="Accent1 13" xfId="992" xr:uid="{00000000-0005-0000-0000-0000BD030000}"/>
    <cellStyle name="Accent1 13 2" xfId="993" xr:uid="{00000000-0005-0000-0000-0000BE030000}"/>
    <cellStyle name="Accent1 13 3" xfId="994" xr:uid="{00000000-0005-0000-0000-0000BF030000}"/>
    <cellStyle name="Accent1 13 4" xfId="995" xr:uid="{00000000-0005-0000-0000-0000C0030000}"/>
    <cellStyle name="Accent1 13 5" xfId="996" xr:uid="{00000000-0005-0000-0000-0000C1030000}"/>
    <cellStyle name="Accent1 13 6" xfId="997" xr:uid="{00000000-0005-0000-0000-0000C2030000}"/>
    <cellStyle name="Accent1 14" xfId="998" xr:uid="{00000000-0005-0000-0000-0000C3030000}"/>
    <cellStyle name="Accent1 14 2" xfId="999" xr:uid="{00000000-0005-0000-0000-0000C4030000}"/>
    <cellStyle name="Accent1 15" xfId="1000" xr:uid="{00000000-0005-0000-0000-0000C5030000}"/>
    <cellStyle name="Accent1 15 2" xfId="1001" xr:uid="{00000000-0005-0000-0000-0000C6030000}"/>
    <cellStyle name="Accent1 16" xfId="1002" xr:uid="{00000000-0005-0000-0000-0000C7030000}"/>
    <cellStyle name="Accent1 17" xfId="1003" xr:uid="{00000000-0005-0000-0000-0000C8030000}"/>
    <cellStyle name="Accent1 2" xfId="1004" xr:uid="{00000000-0005-0000-0000-0000C9030000}"/>
    <cellStyle name="Accent1 2 10" xfId="1005" xr:uid="{00000000-0005-0000-0000-0000CA030000}"/>
    <cellStyle name="Accent1 2 11" xfId="1006" xr:uid="{00000000-0005-0000-0000-0000CB030000}"/>
    <cellStyle name="Accent1 2 12" xfId="1007" xr:uid="{00000000-0005-0000-0000-0000CC030000}"/>
    <cellStyle name="Accent1 2 13" xfId="1008" xr:uid="{00000000-0005-0000-0000-0000CD030000}"/>
    <cellStyle name="Accent1 2 2" xfId="1009" xr:uid="{00000000-0005-0000-0000-0000CE030000}"/>
    <cellStyle name="Accent1 2 6" xfId="1010" xr:uid="{00000000-0005-0000-0000-0000CF030000}"/>
    <cellStyle name="Accent1 2 7" xfId="1011" xr:uid="{00000000-0005-0000-0000-0000D0030000}"/>
    <cellStyle name="Accent1 2 8" xfId="1012" xr:uid="{00000000-0005-0000-0000-0000D1030000}"/>
    <cellStyle name="Accent1 2 9" xfId="1013" xr:uid="{00000000-0005-0000-0000-0000D2030000}"/>
    <cellStyle name="Accent1 3" xfId="1014" xr:uid="{00000000-0005-0000-0000-0000D3030000}"/>
    <cellStyle name="Accent1 4" xfId="1015" xr:uid="{00000000-0005-0000-0000-0000D4030000}"/>
    <cellStyle name="Accent1 5" xfId="1016" xr:uid="{00000000-0005-0000-0000-0000D5030000}"/>
    <cellStyle name="Accent1 6" xfId="1017" xr:uid="{00000000-0005-0000-0000-0000D6030000}"/>
    <cellStyle name="Accent1 7" xfId="1018" xr:uid="{00000000-0005-0000-0000-0000D7030000}"/>
    <cellStyle name="Accent1 8" xfId="1019" xr:uid="{00000000-0005-0000-0000-0000D8030000}"/>
    <cellStyle name="Accent1 8 3" xfId="1020" xr:uid="{00000000-0005-0000-0000-0000D9030000}"/>
    <cellStyle name="Accent1 8 6" xfId="1021" xr:uid="{00000000-0005-0000-0000-0000DA030000}"/>
    <cellStyle name="Accent1 9" xfId="1022" xr:uid="{00000000-0005-0000-0000-0000DB030000}"/>
    <cellStyle name="Accent1 9 2" xfId="1023" xr:uid="{00000000-0005-0000-0000-0000DC030000}"/>
    <cellStyle name="Accent1 9 3" xfId="1024" xr:uid="{00000000-0005-0000-0000-0000DD030000}"/>
    <cellStyle name="Accent1 9 4" xfId="1025" xr:uid="{00000000-0005-0000-0000-0000DE030000}"/>
    <cellStyle name="Accent1 9 6" xfId="1026" xr:uid="{00000000-0005-0000-0000-0000DF030000}"/>
    <cellStyle name="Accent2 10" xfId="1027" xr:uid="{00000000-0005-0000-0000-0000E0030000}"/>
    <cellStyle name="Accent2 10 2" xfId="1028" xr:uid="{00000000-0005-0000-0000-0000E1030000}"/>
    <cellStyle name="Accent2 10 4" xfId="1029" xr:uid="{00000000-0005-0000-0000-0000E2030000}"/>
    <cellStyle name="Accent2 10 5" xfId="1030" xr:uid="{00000000-0005-0000-0000-0000E3030000}"/>
    <cellStyle name="Accent2 10 6" xfId="1031" xr:uid="{00000000-0005-0000-0000-0000E4030000}"/>
    <cellStyle name="Accent2 11" xfId="1032" xr:uid="{00000000-0005-0000-0000-0000E5030000}"/>
    <cellStyle name="Accent2 11 2" xfId="1033" xr:uid="{00000000-0005-0000-0000-0000E6030000}"/>
    <cellStyle name="Accent2 11 4" xfId="1034" xr:uid="{00000000-0005-0000-0000-0000E7030000}"/>
    <cellStyle name="Accent2 11 6" xfId="1035" xr:uid="{00000000-0005-0000-0000-0000E8030000}"/>
    <cellStyle name="Accent2 12" xfId="1036" xr:uid="{00000000-0005-0000-0000-0000E9030000}"/>
    <cellStyle name="Accent2 12 2" xfId="1037" xr:uid="{00000000-0005-0000-0000-0000EA030000}"/>
    <cellStyle name="Accent2 12 3" xfId="1038" xr:uid="{00000000-0005-0000-0000-0000EB030000}"/>
    <cellStyle name="Accent2 12 4" xfId="1039" xr:uid="{00000000-0005-0000-0000-0000EC030000}"/>
    <cellStyle name="Accent2 12 5" xfId="1040" xr:uid="{00000000-0005-0000-0000-0000ED030000}"/>
    <cellStyle name="Accent2 12 6" xfId="1041" xr:uid="{00000000-0005-0000-0000-0000EE030000}"/>
    <cellStyle name="Accent2 13" xfId="1042" xr:uid="{00000000-0005-0000-0000-0000EF030000}"/>
    <cellStyle name="Accent2 13 2" xfId="1043" xr:uid="{00000000-0005-0000-0000-0000F0030000}"/>
    <cellStyle name="Accent2 13 3" xfId="1044" xr:uid="{00000000-0005-0000-0000-0000F1030000}"/>
    <cellStyle name="Accent2 13 4" xfId="1045" xr:uid="{00000000-0005-0000-0000-0000F2030000}"/>
    <cellStyle name="Accent2 13 5" xfId="1046" xr:uid="{00000000-0005-0000-0000-0000F3030000}"/>
    <cellStyle name="Accent2 13 6" xfId="1047" xr:uid="{00000000-0005-0000-0000-0000F4030000}"/>
    <cellStyle name="Accent2 14 2" xfId="1048" xr:uid="{00000000-0005-0000-0000-0000F5030000}"/>
    <cellStyle name="Accent2 15 2" xfId="1049" xr:uid="{00000000-0005-0000-0000-0000F6030000}"/>
    <cellStyle name="Accent2 16" xfId="1050" xr:uid="{00000000-0005-0000-0000-0000F7030000}"/>
    <cellStyle name="Accent2 2" xfId="1051" xr:uid="{00000000-0005-0000-0000-0000F8030000}"/>
    <cellStyle name="Accent2 2 10" xfId="1052" xr:uid="{00000000-0005-0000-0000-0000F9030000}"/>
    <cellStyle name="Accent2 2 11" xfId="1053" xr:uid="{00000000-0005-0000-0000-0000FA030000}"/>
    <cellStyle name="Accent2 2 12" xfId="1054" xr:uid="{00000000-0005-0000-0000-0000FB030000}"/>
    <cellStyle name="Accent2 2 13" xfId="1055" xr:uid="{00000000-0005-0000-0000-0000FC030000}"/>
    <cellStyle name="Accent2 2 2" xfId="1056" xr:uid="{00000000-0005-0000-0000-0000FD030000}"/>
    <cellStyle name="Accent2 2 3" xfId="1057" xr:uid="{00000000-0005-0000-0000-0000FE030000}"/>
    <cellStyle name="Accent2 2 4" xfId="1058" xr:uid="{00000000-0005-0000-0000-0000FF030000}"/>
    <cellStyle name="Accent2 2 5" xfId="1059" xr:uid="{00000000-0005-0000-0000-000000040000}"/>
    <cellStyle name="Accent2 2 6" xfId="1060" xr:uid="{00000000-0005-0000-0000-000001040000}"/>
    <cellStyle name="Accent2 2 7" xfId="1061" xr:uid="{00000000-0005-0000-0000-000002040000}"/>
    <cellStyle name="Accent2 2 8" xfId="1062" xr:uid="{00000000-0005-0000-0000-000003040000}"/>
    <cellStyle name="Accent2 2 9" xfId="1063" xr:uid="{00000000-0005-0000-0000-000004040000}"/>
    <cellStyle name="Accent2 3" xfId="1064" xr:uid="{00000000-0005-0000-0000-000005040000}"/>
    <cellStyle name="Accent2 4" xfId="1065" xr:uid="{00000000-0005-0000-0000-000006040000}"/>
    <cellStyle name="Accent2 5" xfId="1066" xr:uid="{00000000-0005-0000-0000-000007040000}"/>
    <cellStyle name="Accent2 6" xfId="1067" xr:uid="{00000000-0005-0000-0000-000008040000}"/>
    <cellStyle name="Accent2 7" xfId="1068" xr:uid="{00000000-0005-0000-0000-000009040000}"/>
    <cellStyle name="Accent2 8" xfId="1069" xr:uid="{00000000-0005-0000-0000-00000A040000}"/>
    <cellStyle name="Accent2 8 2" xfId="1070" xr:uid="{00000000-0005-0000-0000-00000B040000}"/>
    <cellStyle name="Accent2 8 3" xfId="1071" xr:uid="{00000000-0005-0000-0000-00000C040000}"/>
    <cellStyle name="Accent2 8 4" xfId="1072" xr:uid="{00000000-0005-0000-0000-00000D040000}"/>
    <cellStyle name="Accent2 8 5" xfId="1073" xr:uid="{00000000-0005-0000-0000-00000E040000}"/>
    <cellStyle name="Accent2 8 6" xfId="1074" xr:uid="{00000000-0005-0000-0000-00000F040000}"/>
    <cellStyle name="Accent2 9" xfId="1075" xr:uid="{00000000-0005-0000-0000-000010040000}"/>
    <cellStyle name="Accent2 9 2" xfId="1076" xr:uid="{00000000-0005-0000-0000-000011040000}"/>
    <cellStyle name="Accent2 9 3" xfId="1077" xr:uid="{00000000-0005-0000-0000-000012040000}"/>
    <cellStyle name="Accent3 10" xfId="1078" xr:uid="{00000000-0005-0000-0000-000013040000}"/>
    <cellStyle name="Accent3 10 2" xfId="1079" xr:uid="{00000000-0005-0000-0000-000014040000}"/>
    <cellStyle name="Accent3 10 3" xfId="1080" xr:uid="{00000000-0005-0000-0000-000015040000}"/>
    <cellStyle name="Accent3 10 4" xfId="1081" xr:uid="{00000000-0005-0000-0000-000016040000}"/>
    <cellStyle name="Accent3 10 5" xfId="1082" xr:uid="{00000000-0005-0000-0000-000017040000}"/>
    <cellStyle name="Accent3 10 6" xfId="1083" xr:uid="{00000000-0005-0000-0000-000018040000}"/>
    <cellStyle name="Accent3 11" xfId="1084" xr:uid="{00000000-0005-0000-0000-000019040000}"/>
    <cellStyle name="Accent3 11 2" xfId="1085" xr:uid="{00000000-0005-0000-0000-00001A040000}"/>
    <cellStyle name="Accent3 11 3" xfId="1086" xr:uid="{00000000-0005-0000-0000-00001B040000}"/>
    <cellStyle name="Accent3 11 4" xfId="1087" xr:uid="{00000000-0005-0000-0000-00001C040000}"/>
    <cellStyle name="Accent3 11 6" xfId="1088" xr:uid="{00000000-0005-0000-0000-00001D040000}"/>
    <cellStyle name="Accent3 12" xfId="1089" xr:uid="{00000000-0005-0000-0000-00001E040000}"/>
    <cellStyle name="Accent3 12 3" xfId="1090" xr:uid="{00000000-0005-0000-0000-00001F040000}"/>
    <cellStyle name="Accent3 12 4" xfId="1091" xr:uid="{00000000-0005-0000-0000-000020040000}"/>
    <cellStyle name="Accent3 12 5" xfId="1092" xr:uid="{00000000-0005-0000-0000-000021040000}"/>
    <cellStyle name="Accent3 12 6" xfId="1093" xr:uid="{00000000-0005-0000-0000-000022040000}"/>
    <cellStyle name="Accent3 13" xfId="1094" xr:uid="{00000000-0005-0000-0000-000023040000}"/>
    <cellStyle name="Accent3 13 3" xfId="1095" xr:uid="{00000000-0005-0000-0000-000024040000}"/>
    <cellStyle name="Accent3 13 4" xfId="1096" xr:uid="{00000000-0005-0000-0000-000025040000}"/>
    <cellStyle name="Accent3 13 6" xfId="1097" xr:uid="{00000000-0005-0000-0000-000026040000}"/>
    <cellStyle name="Accent3 14" xfId="1098" xr:uid="{00000000-0005-0000-0000-000027040000}"/>
    <cellStyle name="Accent3 15" xfId="1099" xr:uid="{00000000-0005-0000-0000-000028040000}"/>
    <cellStyle name="Accent3 15 2" xfId="1100" xr:uid="{00000000-0005-0000-0000-000029040000}"/>
    <cellStyle name="Accent3 16" xfId="1101" xr:uid="{00000000-0005-0000-0000-00002A040000}"/>
    <cellStyle name="Accent3 2" xfId="1102" xr:uid="{00000000-0005-0000-0000-00002B040000}"/>
    <cellStyle name="Accent3 2 10" xfId="1103" xr:uid="{00000000-0005-0000-0000-00002C040000}"/>
    <cellStyle name="Accent3 2 11" xfId="1104" xr:uid="{00000000-0005-0000-0000-00002D040000}"/>
    <cellStyle name="Accent3 2 13" xfId="1105" xr:uid="{00000000-0005-0000-0000-00002E040000}"/>
    <cellStyle name="Accent3 2 3" xfId="1106" xr:uid="{00000000-0005-0000-0000-00002F040000}"/>
    <cellStyle name="Accent3 2 5" xfId="1107" xr:uid="{00000000-0005-0000-0000-000030040000}"/>
    <cellStyle name="Accent3 2 6" xfId="1108" xr:uid="{00000000-0005-0000-0000-000031040000}"/>
    <cellStyle name="Accent3 2 7" xfId="1109" xr:uid="{00000000-0005-0000-0000-000032040000}"/>
    <cellStyle name="Accent3 2 8" xfId="1110" xr:uid="{00000000-0005-0000-0000-000033040000}"/>
    <cellStyle name="Accent3 2 9" xfId="1111" xr:uid="{00000000-0005-0000-0000-000034040000}"/>
    <cellStyle name="Accent3 3" xfId="1112" xr:uid="{00000000-0005-0000-0000-000035040000}"/>
    <cellStyle name="Accent3 4" xfId="1113" xr:uid="{00000000-0005-0000-0000-000036040000}"/>
    <cellStyle name="Accent3 5" xfId="1114" xr:uid="{00000000-0005-0000-0000-000037040000}"/>
    <cellStyle name="Accent3 6" xfId="1115" xr:uid="{00000000-0005-0000-0000-000038040000}"/>
    <cellStyle name="Accent3 7" xfId="1116" xr:uid="{00000000-0005-0000-0000-000039040000}"/>
    <cellStyle name="Accent3 8" xfId="1117" xr:uid="{00000000-0005-0000-0000-00003A040000}"/>
    <cellStyle name="Accent3 8 2" xfId="1118" xr:uid="{00000000-0005-0000-0000-00003B040000}"/>
    <cellStyle name="Accent3 8 3" xfId="1119" xr:uid="{00000000-0005-0000-0000-00003C040000}"/>
    <cellStyle name="Accent3 8 4" xfId="1120" xr:uid="{00000000-0005-0000-0000-00003D040000}"/>
    <cellStyle name="Accent3 8 5" xfId="1121" xr:uid="{00000000-0005-0000-0000-00003E040000}"/>
    <cellStyle name="Accent3 8 6" xfId="1122" xr:uid="{00000000-0005-0000-0000-00003F040000}"/>
    <cellStyle name="Accent3 9" xfId="1123" xr:uid="{00000000-0005-0000-0000-000040040000}"/>
    <cellStyle name="Accent3 9 2" xfId="1124" xr:uid="{00000000-0005-0000-0000-000041040000}"/>
    <cellStyle name="Accent3 9 3" xfId="1125" xr:uid="{00000000-0005-0000-0000-000042040000}"/>
    <cellStyle name="Accent3 9 4" xfId="1126" xr:uid="{00000000-0005-0000-0000-000043040000}"/>
    <cellStyle name="Accent3 9 5" xfId="1127" xr:uid="{00000000-0005-0000-0000-000044040000}"/>
    <cellStyle name="Accent3 9 6" xfId="1128" xr:uid="{00000000-0005-0000-0000-000045040000}"/>
    <cellStyle name="Accent4 10" xfId="1129" xr:uid="{00000000-0005-0000-0000-000046040000}"/>
    <cellStyle name="Accent4 10 2" xfId="1130" xr:uid="{00000000-0005-0000-0000-000047040000}"/>
    <cellStyle name="Accent4 10 3" xfId="1131" xr:uid="{00000000-0005-0000-0000-000048040000}"/>
    <cellStyle name="Accent4 10 4" xfId="1132" xr:uid="{00000000-0005-0000-0000-000049040000}"/>
    <cellStyle name="Accent4 10 5" xfId="1133" xr:uid="{00000000-0005-0000-0000-00004A040000}"/>
    <cellStyle name="Accent4 10 6" xfId="1134" xr:uid="{00000000-0005-0000-0000-00004B040000}"/>
    <cellStyle name="Accent4 11" xfId="1135" xr:uid="{00000000-0005-0000-0000-00004C040000}"/>
    <cellStyle name="Accent4 11 2" xfId="1136" xr:uid="{00000000-0005-0000-0000-00004D040000}"/>
    <cellStyle name="Accent4 11 3" xfId="1137" xr:uid="{00000000-0005-0000-0000-00004E040000}"/>
    <cellStyle name="Accent4 11 4" xfId="1138" xr:uid="{00000000-0005-0000-0000-00004F040000}"/>
    <cellStyle name="Accent4 11 5" xfId="1139" xr:uid="{00000000-0005-0000-0000-000050040000}"/>
    <cellStyle name="Accent4 11 6" xfId="1140" xr:uid="{00000000-0005-0000-0000-000051040000}"/>
    <cellStyle name="Accent4 12" xfId="1141" xr:uid="{00000000-0005-0000-0000-000052040000}"/>
    <cellStyle name="Accent4 12 2" xfId="1142" xr:uid="{00000000-0005-0000-0000-000053040000}"/>
    <cellStyle name="Accent4 12 3" xfId="1143" xr:uid="{00000000-0005-0000-0000-000054040000}"/>
    <cellStyle name="Accent4 12 4" xfId="1144" xr:uid="{00000000-0005-0000-0000-000055040000}"/>
    <cellStyle name="Accent4 12 5" xfId="1145" xr:uid="{00000000-0005-0000-0000-000056040000}"/>
    <cellStyle name="Accent4 13" xfId="1146" xr:uid="{00000000-0005-0000-0000-000057040000}"/>
    <cellStyle name="Accent4 13 3" xfId="1147" xr:uid="{00000000-0005-0000-0000-000058040000}"/>
    <cellStyle name="Accent4 13 4" xfId="1148" xr:uid="{00000000-0005-0000-0000-000059040000}"/>
    <cellStyle name="Accent4 13 5" xfId="1149" xr:uid="{00000000-0005-0000-0000-00005A040000}"/>
    <cellStyle name="Accent4 13 6" xfId="1150" xr:uid="{00000000-0005-0000-0000-00005B040000}"/>
    <cellStyle name="Accent4 14" xfId="1151" xr:uid="{00000000-0005-0000-0000-00005C040000}"/>
    <cellStyle name="Accent4 14 2" xfId="1152" xr:uid="{00000000-0005-0000-0000-00005D040000}"/>
    <cellStyle name="Accent4 15" xfId="1153" xr:uid="{00000000-0005-0000-0000-00005E040000}"/>
    <cellStyle name="Accent4 15 2" xfId="1154" xr:uid="{00000000-0005-0000-0000-00005F040000}"/>
    <cellStyle name="Accent4 16" xfId="1155" xr:uid="{00000000-0005-0000-0000-000060040000}"/>
    <cellStyle name="Accent4 2" xfId="1156" xr:uid="{00000000-0005-0000-0000-000061040000}"/>
    <cellStyle name="Accent4 2 10" xfId="1157" xr:uid="{00000000-0005-0000-0000-000062040000}"/>
    <cellStyle name="Accent4 2 11" xfId="1158" xr:uid="{00000000-0005-0000-0000-000063040000}"/>
    <cellStyle name="Accent4 2 13" xfId="1159" xr:uid="{00000000-0005-0000-0000-000064040000}"/>
    <cellStyle name="Accent4 2 4" xfId="1160" xr:uid="{00000000-0005-0000-0000-000065040000}"/>
    <cellStyle name="Accent4 2 5" xfId="1161" xr:uid="{00000000-0005-0000-0000-000066040000}"/>
    <cellStyle name="Accent4 2 6" xfId="1162" xr:uid="{00000000-0005-0000-0000-000067040000}"/>
    <cellStyle name="Accent4 2 7" xfId="1163" xr:uid="{00000000-0005-0000-0000-000068040000}"/>
    <cellStyle name="Accent4 2 8" xfId="1164" xr:uid="{00000000-0005-0000-0000-000069040000}"/>
    <cellStyle name="Accent4 2 9" xfId="1165" xr:uid="{00000000-0005-0000-0000-00006A040000}"/>
    <cellStyle name="Accent4 3" xfId="1166" xr:uid="{00000000-0005-0000-0000-00006B040000}"/>
    <cellStyle name="Accent4 4" xfId="1167" xr:uid="{00000000-0005-0000-0000-00006C040000}"/>
    <cellStyle name="Accent4 5" xfId="1168" xr:uid="{00000000-0005-0000-0000-00006D040000}"/>
    <cellStyle name="Accent4 6" xfId="1169" xr:uid="{00000000-0005-0000-0000-00006E040000}"/>
    <cellStyle name="Accent4 7" xfId="1170" xr:uid="{00000000-0005-0000-0000-00006F040000}"/>
    <cellStyle name="Accent4 8" xfId="1171" xr:uid="{00000000-0005-0000-0000-000070040000}"/>
    <cellStyle name="Accent4 8 3" xfId="1172" xr:uid="{00000000-0005-0000-0000-000071040000}"/>
    <cellStyle name="Accent4 8 4" xfId="1173" xr:uid="{00000000-0005-0000-0000-000072040000}"/>
    <cellStyle name="Accent4 8 5" xfId="1174" xr:uid="{00000000-0005-0000-0000-000073040000}"/>
    <cellStyle name="Accent4 8 6" xfId="1175" xr:uid="{00000000-0005-0000-0000-000074040000}"/>
    <cellStyle name="Accent4 9" xfId="1176" xr:uid="{00000000-0005-0000-0000-000075040000}"/>
    <cellStyle name="Accent4 9 2" xfId="1177" xr:uid="{00000000-0005-0000-0000-000076040000}"/>
    <cellStyle name="Accent4 9 3" xfId="1178" xr:uid="{00000000-0005-0000-0000-000077040000}"/>
    <cellStyle name="Accent4 9 5" xfId="1179" xr:uid="{00000000-0005-0000-0000-000078040000}"/>
    <cellStyle name="Accent5 10" xfId="1180" xr:uid="{00000000-0005-0000-0000-000079040000}"/>
    <cellStyle name="Accent5 10 2" xfId="1181" xr:uid="{00000000-0005-0000-0000-00007A040000}"/>
    <cellStyle name="Accent5 10 3" xfId="1182" xr:uid="{00000000-0005-0000-0000-00007B040000}"/>
    <cellStyle name="Accent5 10 4" xfId="1183" xr:uid="{00000000-0005-0000-0000-00007C040000}"/>
    <cellStyle name="Accent5 10 5" xfId="1184" xr:uid="{00000000-0005-0000-0000-00007D040000}"/>
    <cellStyle name="Accent5 10 6" xfId="1185" xr:uid="{00000000-0005-0000-0000-00007E040000}"/>
    <cellStyle name="Accent5 11" xfId="1186" xr:uid="{00000000-0005-0000-0000-00007F040000}"/>
    <cellStyle name="Accent5 11 2" xfId="1187" xr:uid="{00000000-0005-0000-0000-000080040000}"/>
    <cellStyle name="Accent5 11 3" xfId="1188" xr:uid="{00000000-0005-0000-0000-000081040000}"/>
    <cellStyle name="Accent5 11 4" xfId="1189" xr:uid="{00000000-0005-0000-0000-000082040000}"/>
    <cellStyle name="Accent5 11 5" xfId="1190" xr:uid="{00000000-0005-0000-0000-000083040000}"/>
    <cellStyle name="Accent5 11 6" xfId="1191" xr:uid="{00000000-0005-0000-0000-000084040000}"/>
    <cellStyle name="Accent5 12" xfId="1192" xr:uid="{00000000-0005-0000-0000-000085040000}"/>
    <cellStyle name="Accent5 12 2" xfId="1193" xr:uid="{00000000-0005-0000-0000-000086040000}"/>
    <cellStyle name="Accent5 12 3" xfId="1194" xr:uid="{00000000-0005-0000-0000-000087040000}"/>
    <cellStyle name="Accent5 12 4" xfId="1195" xr:uid="{00000000-0005-0000-0000-000088040000}"/>
    <cellStyle name="Accent5 12 5" xfId="1196" xr:uid="{00000000-0005-0000-0000-000089040000}"/>
    <cellStyle name="Accent5 12 6" xfId="1197" xr:uid="{00000000-0005-0000-0000-00008A040000}"/>
    <cellStyle name="Accent5 13" xfId="1198" xr:uid="{00000000-0005-0000-0000-00008B040000}"/>
    <cellStyle name="Accent5 13 2" xfId="1199" xr:uid="{00000000-0005-0000-0000-00008C040000}"/>
    <cellStyle name="Accent5 13 3" xfId="1200" xr:uid="{00000000-0005-0000-0000-00008D040000}"/>
    <cellStyle name="Accent5 13 4" xfId="1201" xr:uid="{00000000-0005-0000-0000-00008E040000}"/>
    <cellStyle name="Accent5 13 5" xfId="1202" xr:uid="{00000000-0005-0000-0000-00008F040000}"/>
    <cellStyle name="Accent5 13 6" xfId="1203" xr:uid="{00000000-0005-0000-0000-000090040000}"/>
    <cellStyle name="Accent5 14 2" xfId="1204" xr:uid="{00000000-0005-0000-0000-000091040000}"/>
    <cellStyle name="Accent5 15" xfId="1205" xr:uid="{00000000-0005-0000-0000-000092040000}"/>
    <cellStyle name="Accent5 15 2" xfId="1206" xr:uid="{00000000-0005-0000-0000-000093040000}"/>
    <cellStyle name="Accent5 2" xfId="1207" xr:uid="{00000000-0005-0000-0000-000094040000}"/>
    <cellStyle name="Accent5 2 10" xfId="1208" xr:uid="{00000000-0005-0000-0000-000095040000}"/>
    <cellStyle name="Accent5 2 11" xfId="1209" xr:uid="{00000000-0005-0000-0000-000096040000}"/>
    <cellStyle name="Accent5 2 12" xfId="1210" xr:uid="{00000000-0005-0000-0000-000097040000}"/>
    <cellStyle name="Accent5 2 13" xfId="1211" xr:uid="{00000000-0005-0000-0000-000098040000}"/>
    <cellStyle name="Accent5 2 2" xfId="1212" xr:uid="{00000000-0005-0000-0000-000099040000}"/>
    <cellStyle name="Accent5 2 3" xfId="1213" xr:uid="{00000000-0005-0000-0000-00009A040000}"/>
    <cellStyle name="Accent5 2 4" xfId="1214" xr:uid="{00000000-0005-0000-0000-00009B040000}"/>
    <cellStyle name="Accent5 2 5" xfId="1215" xr:uid="{00000000-0005-0000-0000-00009C040000}"/>
    <cellStyle name="Accent5 2 9" xfId="1216" xr:uid="{00000000-0005-0000-0000-00009D040000}"/>
    <cellStyle name="Accent5 3" xfId="1217" xr:uid="{00000000-0005-0000-0000-00009E040000}"/>
    <cellStyle name="Accent5 4" xfId="1218" xr:uid="{00000000-0005-0000-0000-00009F040000}"/>
    <cellStyle name="Accent5 5" xfId="1219" xr:uid="{00000000-0005-0000-0000-0000A0040000}"/>
    <cellStyle name="Accent5 6" xfId="1220" xr:uid="{00000000-0005-0000-0000-0000A1040000}"/>
    <cellStyle name="Accent5 7" xfId="1221" xr:uid="{00000000-0005-0000-0000-0000A2040000}"/>
    <cellStyle name="Accent5 8" xfId="1222" xr:uid="{00000000-0005-0000-0000-0000A3040000}"/>
    <cellStyle name="Accent5 8 2" xfId="1223" xr:uid="{00000000-0005-0000-0000-0000A4040000}"/>
    <cellStyle name="Accent5 8 3" xfId="1224" xr:uid="{00000000-0005-0000-0000-0000A5040000}"/>
    <cellStyle name="Accent5 8 4" xfId="1225" xr:uid="{00000000-0005-0000-0000-0000A6040000}"/>
    <cellStyle name="Accent5 8 5" xfId="1226" xr:uid="{00000000-0005-0000-0000-0000A7040000}"/>
    <cellStyle name="Accent5 8 6" xfId="1227" xr:uid="{00000000-0005-0000-0000-0000A8040000}"/>
    <cellStyle name="Accent5 9" xfId="1228" xr:uid="{00000000-0005-0000-0000-0000A9040000}"/>
    <cellStyle name="Accent5 9 3" xfId="1229" xr:uid="{00000000-0005-0000-0000-0000AA040000}"/>
    <cellStyle name="Accent5 9 6" xfId="1230" xr:uid="{00000000-0005-0000-0000-0000AB040000}"/>
    <cellStyle name="Accent6 10" xfId="1231" xr:uid="{00000000-0005-0000-0000-0000AC040000}"/>
    <cellStyle name="Accent6 10 2" xfId="1232" xr:uid="{00000000-0005-0000-0000-0000AD040000}"/>
    <cellStyle name="Accent6 10 3" xfId="1233" xr:uid="{00000000-0005-0000-0000-0000AE040000}"/>
    <cellStyle name="Accent6 10 4" xfId="1234" xr:uid="{00000000-0005-0000-0000-0000AF040000}"/>
    <cellStyle name="Accent6 10 5" xfId="1235" xr:uid="{00000000-0005-0000-0000-0000B0040000}"/>
    <cellStyle name="Accent6 11" xfId="1236" xr:uid="{00000000-0005-0000-0000-0000B1040000}"/>
    <cellStyle name="Accent6 11 2" xfId="1237" xr:uid="{00000000-0005-0000-0000-0000B2040000}"/>
    <cellStyle name="Accent6 11 4" xfId="1238" xr:uid="{00000000-0005-0000-0000-0000B3040000}"/>
    <cellStyle name="Accent6 11 5" xfId="1239" xr:uid="{00000000-0005-0000-0000-0000B4040000}"/>
    <cellStyle name="Accent6 12" xfId="1240" xr:uid="{00000000-0005-0000-0000-0000B5040000}"/>
    <cellStyle name="Accent6 12 2" xfId="1241" xr:uid="{00000000-0005-0000-0000-0000B6040000}"/>
    <cellStyle name="Accent6 12 3" xfId="1242" xr:uid="{00000000-0005-0000-0000-0000B7040000}"/>
    <cellStyle name="Accent6 12 4" xfId="1243" xr:uid="{00000000-0005-0000-0000-0000B8040000}"/>
    <cellStyle name="Accent6 12 5" xfId="1244" xr:uid="{00000000-0005-0000-0000-0000B9040000}"/>
    <cellStyle name="Accent6 12 6" xfId="1245" xr:uid="{00000000-0005-0000-0000-0000BA040000}"/>
    <cellStyle name="Accent6 13" xfId="1246" xr:uid="{00000000-0005-0000-0000-0000BB040000}"/>
    <cellStyle name="Accent6 13 2" xfId="1247" xr:uid="{00000000-0005-0000-0000-0000BC040000}"/>
    <cellStyle name="Accent6 13 4" xfId="1248" xr:uid="{00000000-0005-0000-0000-0000BD040000}"/>
    <cellStyle name="Accent6 13 6" xfId="1249" xr:uid="{00000000-0005-0000-0000-0000BE040000}"/>
    <cellStyle name="Accent6 14" xfId="1250" xr:uid="{00000000-0005-0000-0000-0000BF040000}"/>
    <cellStyle name="Accent6 14 2" xfId="1251" xr:uid="{00000000-0005-0000-0000-0000C0040000}"/>
    <cellStyle name="Accent6 15 2" xfId="1252" xr:uid="{00000000-0005-0000-0000-0000C1040000}"/>
    <cellStyle name="Accent6 16" xfId="1253" xr:uid="{00000000-0005-0000-0000-0000C2040000}"/>
    <cellStyle name="Accent6 2" xfId="1254" xr:uid="{00000000-0005-0000-0000-0000C3040000}"/>
    <cellStyle name="Accent6 2 10" xfId="1255" xr:uid="{00000000-0005-0000-0000-0000C4040000}"/>
    <cellStyle name="Accent6 2 11" xfId="1256" xr:uid="{00000000-0005-0000-0000-0000C5040000}"/>
    <cellStyle name="Accent6 2 12" xfId="1257" xr:uid="{00000000-0005-0000-0000-0000C6040000}"/>
    <cellStyle name="Accent6 2 13" xfId="1258" xr:uid="{00000000-0005-0000-0000-0000C7040000}"/>
    <cellStyle name="Accent6 2 2" xfId="1259" xr:uid="{00000000-0005-0000-0000-0000C8040000}"/>
    <cellStyle name="Accent6 2 3" xfId="1260" xr:uid="{00000000-0005-0000-0000-0000C9040000}"/>
    <cellStyle name="Accent6 2 4" xfId="1261" xr:uid="{00000000-0005-0000-0000-0000CA040000}"/>
    <cellStyle name="Accent6 2 5" xfId="1262" xr:uid="{00000000-0005-0000-0000-0000CB040000}"/>
    <cellStyle name="Accent6 2 6" xfId="1263" xr:uid="{00000000-0005-0000-0000-0000CC040000}"/>
    <cellStyle name="Accent6 2 7" xfId="1264" xr:uid="{00000000-0005-0000-0000-0000CD040000}"/>
    <cellStyle name="Accent6 2 8" xfId="1265" xr:uid="{00000000-0005-0000-0000-0000CE040000}"/>
    <cellStyle name="Accent6 2 9" xfId="1266" xr:uid="{00000000-0005-0000-0000-0000CF040000}"/>
    <cellStyle name="Accent6 3" xfId="1267" xr:uid="{00000000-0005-0000-0000-0000D0040000}"/>
    <cellStyle name="Accent6 4" xfId="1268" xr:uid="{00000000-0005-0000-0000-0000D1040000}"/>
    <cellStyle name="Accent6 5" xfId="1269" xr:uid="{00000000-0005-0000-0000-0000D2040000}"/>
    <cellStyle name="Accent6 6" xfId="1270" xr:uid="{00000000-0005-0000-0000-0000D3040000}"/>
    <cellStyle name="Accent6 7" xfId="1271" xr:uid="{00000000-0005-0000-0000-0000D4040000}"/>
    <cellStyle name="Accent6 8" xfId="1272" xr:uid="{00000000-0005-0000-0000-0000D5040000}"/>
    <cellStyle name="Accent6 8 2" xfId="1273" xr:uid="{00000000-0005-0000-0000-0000D6040000}"/>
    <cellStyle name="Accent6 8 3" xfId="1274" xr:uid="{00000000-0005-0000-0000-0000D7040000}"/>
    <cellStyle name="Accent6 8 4" xfId="1275" xr:uid="{00000000-0005-0000-0000-0000D8040000}"/>
    <cellStyle name="Accent6 8 5" xfId="1276" xr:uid="{00000000-0005-0000-0000-0000D9040000}"/>
    <cellStyle name="Accent6 8 6" xfId="1277" xr:uid="{00000000-0005-0000-0000-0000DA040000}"/>
    <cellStyle name="Accent6 9" xfId="1278" xr:uid="{00000000-0005-0000-0000-0000DB040000}"/>
    <cellStyle name="Accent6 9 2" xfId="1279" xr:uid="{00000000-0005-0000-0000-0000DC040000}"/>
    <cellStyle name="Accent6 9 3" xfId="1280" xr:uid="{00000000-0005-0000-0000-0000DD040000}"/>
    <cellStyle name="Accent6 9 4" xfId="1281" xr:uid="{00000000-0005-0000-0000-0000DE040000}"/>
    <cellStyle name="Accent6 9 5" xfId="1282" xr:uid="{00000000-0005-0000-0000-0000DF040000}"/>
    <cellStyle name="Accent6 9 6" xfId="1283" xr:uid="{00000000-0005-0000-0000-0000E0040000}"/>
    <cellStyle name="Auto" xfId="3" xr:uid="{00000000-0005-0000-0000-0000E1040000}"/>
    <cellStyle name="Bad 10" xfId="1284" xr:uid="{00000000-0005-0000-0000-0000E2040000}"/>
    <cellStyle name="Bad 10 3" xfId="1285" xr:uid="{00000000-0005-0000-0000-0000E3040000}"/>
    <cellStyle name="Bad 10 4" xfId="1286" xr:uid="{00000000-0005-0000-0000-0000E4040000}"/>
    <cellStyle name="Bad 10 5" xfId="1287" xr:uid="{00000000-0005-0000-0000-0000E5040000}"/>
    <cellStyle name="Bad 10 6" xfId="1288" xr:uid="{00000000-0005-0000-0000-0000E6040000}"/>
    <cellStyle name="Bad 11" xfId="1289" xr:uid="{00000000-0005-0000-0000-0000E7040000}"/>
    <cellStyle name="Bad 11 2" xfId="1290" xr:uid="{00000000-0005-0000-0000-0000E8040000}"/>
    <cellStyle name="Bad 11 3" xfId="1291" xr:uid="{00000000-0005-0000-0000-0000E9040000}"/>
    <cellStyle name="Bad 11 4" xfId="1292" xr:uid="{00000000-0005-0000-0000-0000EA040000}"/>
    <cellStyle name="Bad 11 5" xfId="1293" xr:uid="{00000000-0005-0000-0000-0000EB040000}"/>
    <cellStyle name="Bad 11 6" xfId="1294" xr:uid="{00000000-0005-0000-0000-0000EC040000}"/>
    <cellStyle name="Bad 12" xfId="1295" xr:uid="{00000000-0005-0000-0000-0000ED040000}"/>
    <cellStyle name="Bad 12 2" xfId="1296" xr:uid="{00000000-0005-0000-0000-0000EE040000}"/>
    <cellStyle name="Bad 12 4" xfId="1297" xr:uid="{00000000-0005-0000-0000-0000EF040000}"/>
    <cellStyle name="Bad 13" xfId="1298" xr:uid="{00000000-0005-0000-0000-0000F0040000}"/>
    <cellStyle name="Bad 13 2" xfId="1299" xr:uid="{00000000-0005-0000-0000-0000F1040000}"/>
    <cellStyle name="Bad 13 3" xfId="1300" xr:uid="{00000000-0005-0000-0000-0000F2040000}"/>
    <cellStyle name="Bad 13 4" xfId="1301" xr:uid="{00000000-0005-0000-0000-0000F3040000}"/>
    <cellStyle name="Bad 13 5" xfId="1302" xr:uid="{00000000-0005-0000-0000-0000F4040000}"/>
    <cellStyle name="Bad 13 6" xfId="1303" xr:uid="{00000000-0005-0000-0000-0000F5040000}"/>
    <cellStyle name="Bad 14" xfId="1304" xr:uid="{00000000-0005-0000-0000-0000F6040000}"/>
    <cellStyle name="Bad 14 2" xfId="1305" xr:uid="{00000000-0005-0000-0000-0000F7040000}"/>
    <cellStyle name="Bad 15 2" xfId="1306" xr:uid="{00000000-0005-0000-0000-0000F8040000}"/>
    <cellStyle name="Bad 2" xfId="4" xr:uid="{00000000-0005-0000-0000-0000F9040000}"/>
    <cellStyle name="Bad 2 10" xfId="1307" xr:uid="{00000000-0005-0000-0000-0000FA040000}"/>
    <cellStyle name="Bad 2 11" xfId="1308" xr:uid="{00000000-0005-0000-0000-0000FB040000}"/>
    <cellStyle name="Bad 2 12" xfId="1309" xr:uid="{00000000-0005-0000-0000-0000FC040000}"/>
    <cellStyle name="Bad 2 13" xfId="1310" xr:uid="{00000000-0005-0000-0000-0000FD040000}"/>
    <cellStyle name="Bad 2 14" xfId="1311" xr:uid="{00000000-0005-0000-0000-0000FE040000}"/>
    <cellStyle name="Bad 2 2" xfId="1312" xr:uid="{00000000-0005-0000-0000-0000FF040000}"/>
    <cellStyle name="Bad 2 3" xfId="1313" xr:uid="{00000000-0005-0000-0000-000000050000}"/>
    <cellStyle name="Bad 2 4" xfId="1314" xr:uid="{00000000-0005-0000-0000-000001050000}"/>
    <cellStyle name="Bad 2 5" xfId="1315" xr:uid="{00000000-0005-0000-0000-000002050000}"/>
    <cellStyle name="Bad 2 6" xfId="1316" xr:uid="{00000000-0005-0000-0000-000003050000}"/>
    <cellStyle name="Bad 2 7" xfId="1317" xr:uid="{00000000-0005-0000-0000-000004050000}"/>
    <cellStyle name="Bad 2 8" xfId="1318" xr:uid="{00000000-0005-0000-0000-000005050000}"/>
    <cellStyle name="Bad 2 9" xfId="1319" xr:uid="{00000000-0005-0000-0000-000006050000}"/>
    <cellStyle name="Bad 3" xfId="1320" xr:uid="{00000000-0005-0000-0000-000007050000}"/>
    <cellStyle name="Bad 4" xfId="1321" xr:uid="{00000000-0005-0000-0000-000008050000}"/>
    <cellStyle name="Bad 5" xfId="1322" xr:uid="{00000000-0005-0000-0000-000009050000}"/>
    <cellStyle name="Bad 6" xfId="1323" xr:uid="{00000000-0005-0000-0000-00000A050000}"/>
    <cellStyle name="Bad 7" xfId="1324" xr:uid="{00000000-0005-0000-0000-00000B050000}"/>
    <cellStyle name="Bad 8" xfId="1325" xr:uid="{00000000-0005-0000-0000-00000C050000}"/>
    <cellStyle name="Bad 8 2" xfId="1326" xr:uid="{00000000-0005-0000-0000-00000D050000}"/>
    <cellStyle name="Bad 8 3" xfId="1327" xr:uid="{00000000-0005-0000-0000-00000E050000}"/>
    <cellStyle name="Bad 8 4" xfId="1328" xr:uid="{00000000-0005-0000-0000-00000F050000}"/>
    <cellStyle name="Bad 8 5" xfId="1329" xr:uid="{00000000-0005-0000-0000-000010050000}"/>
    <cellStyle name="Bad 8 6" xfId="1330" xr:uid="{00000000-0005-0000-0000-000011050000}"/>
    <cellStyle name="Bad 9" xfId="1331" xr:uid="{00000000-0005-0000-0000-000012050000}"/>
    <cellStyle name="Bad 9 2" xfId="1332" xr:uid="{00000000-0005-0000-0000-000013050000}"/>
    <cellStyle name="Bad 9 3" xfId="1333" xr:uid="{00000000-0005-0000-0000-000014050000}"/>
    <cellStyle name="Bad 9 4" xfId="1334" xr:uid="{00000000-0005-0000-0000-000015050000}"/>
    <cellStyle name="Bad 9 5" xfId="1335" xr:uid="{00000000-0005-0000-0000-000016050000}"/>
    <cellStyle name="Bad 9 6" xfId="1336" xr:uid="{00000000-0005-0000-0000-000017050000}"/>
    <cellStyle name="Calculation 10" xfId="1337" xr:uid="{00000000-0005-0000-0000-000018050000}"/>
    <cellStyle name="Calculation 10 2" xfId="1338" xr:uid="{00000000-0005-0000-0000-000019050000}"/>
    <cellStyle name="Calculation 10 3" xfId="1339" xr:uid="{00000000-0005-0000-0000-00001A050000}"/>
    <cellStyle name="Calculation 10 4" xfId="1340" xr:uid="{00000000-0005-0000-0000-00001B050000}"/>
    <cellStyle name="Calculation 10 5" xfId="1341" xr:uid="{00000000-0005-0000-0000-00001C050000}"/>
    <cellStyle name="Calculation 10 6" xfId="1342" xr:uid="{00000000-0005-0000-0000-00001D050000}"/>
    <cellStyle name="Calculation 11" xfId="1343" xr:uid="{00000000-0005-0000-0000-00001E050000}"/>
    <cellStyle name="Calculation 11 2" xfId="1344" xr:uid="{00000000-0005-0000-0000-00001F050000}"/>
    <cellStyle name="Calculation 11 3" xfId="1345" xr:uid="{00000000-0005-0000-0000-000020050000}"/>
    <cellStyle name="Calculation 11 4" xfId="1346" xr:uid="{00000000-0005-0000-0000-000021050000}"/>
    <cellStyle name="Calculation 11 5" xfId="1347" xr:uid="{00000000-0005-0000-0000-000022050000}"/>
    <cellStyle name="Calculation 11 6" xfId="1348" xr:uid="{00000000-0005-0000-0000-000023050000}"/>
    <cellStyle name="Calculation 12" xfId="1349" xr:uid="{00000000-0005-0000-0000-000024050000}"/>
    <cellStyle name="Calculation 12 2" xfId="1350" xr:uid="{00000000-0005-0000-0000-000025050000}"/>
    <cellStyle name="Calculation 12 3" xfId="1351" xr:uid="{00000000-0005-0000-0000-000026050000}"/>
    <cellStyle name="Calculation 12 4" xfId="1352" xr:uid="{00000000-0005-0000-0000-000027050000}"/>
    <cellStyle name="Calculation 12 5" xfId="1353" xr:uid="{00000000-0005-0000-0000-000028050000}"/>
    <cellStyle name="Calculation 12 6" xfId="1354" xr:uid="{00000000-0005-0000-0000-000029050000}"/>
    <cellStyle name="Calculation 13" xfId="1355" xr:uid="{00000000-0005-0000-0000-00002A050000}"/>
    <cellStyle name="Calculation 13 3" xfId="1356" xr:uid="{00000000-0005-0000-0000-00002B050000}"/>
    <cellStyle name="Calculation 13 6" xfId="1357" xr:uid="{00000000-0005-0000-0000-00002C050000}"/>
    <cellStyle name="Calculation 14" xfId="1358" xr:uid="{00000000-0005-0000-0000-00002D050000}"/>
    <cellStyle name="Calculation 14 2" xfId="1359" xr:uid="{00000000-0005-0000-0000-00002E050000}"/>
    <cellStyle name="Calculation 15" xfId="1360" xr:uid="{00000000-0005-0000-0000-00002F050000}"/>
    <cellStyle name="Calculation 15 2" xfId="1361" xr:uid="{00000000-0005-0000-0000-000030050000}"/>
    <cellStyle name="Calculation 16" xfId="1362" xr:uid="{00000000-0005-0000-0000-000031050000}"/>
    <cellStyle name="Calculation 17" xfId="1363" xr:uid="{00000000-0005-0000-0000-000032050000}"/>
    <cellStyle name="Calculation 2" xfId="1364" xr:uid="{00000000-0005-0000-0000-000033050000}"/>
    <cellStyle name="Calculation 2 10" xfId="1365" xr:uid="{00000000-0005-0000-0000-000034050000}"/>
    <cellStyle name="Calculation 2 11" xfId="1366" xr:uid="{00000000-0005-0000-0000-000035050000}"/>
    <cellStyle name="Calculation 2 12" xfId="1367" xr:uid="{00000000-0005-0000-0000-000036050000}"/>
    <cellStyle name="Calculation 2 13" xfId="1368" xr:uid="{00000000-0005-0000-0000-000037050000}"/>
    <cellStyle name="Calculation 2 2" xfId="1369" xr:uid="{00000000-0005-0000-0000-000038050000}"/>
    <cellStyle name="Calculation 2 3" xfId="1370" xr:uid="{00000000-0005-0000-0000-000039050000}"/>
    <cellStyle name="Calculation 2 5" xfId="1371" xr:uid="{00000000-0005-0000-0000-00003A050000}"/>
    <cellStyle name="Calculation 2 8" xfId="1372" xr:uid="{00000000-0005-0000-0000-00003B050000}"/>
    <cellStyle name="Calculation 2 9" xfId="1373" xr:uid="{00000000-0005-0000-0000-00003C050000}"/>
    <cellStyle name="Calculation 3" xfId="1374" xr:uid="{00000000-0005-0000-0000-00003D050000}"/>
    <cellStyle name="Calculation 4" xfId="1375" xr:uid="{00000000-0005-0000-0000-00003E050000}"/>
    <cellStyle name="Calculation 5" xfId="1376" xr:uid="{00000000-0005-0000-0000-00003F050000}"/>
    <cellStyle name="Calculation 6" xfId="1377" xr:uid="{00000000-0005-0000-0000-000040050000}"/>
    <cellStyle name="Calculation 7" xfId="1378" xr:uid="{00000000-0005-0000-0000-000041050000}"/>
    <cellStyle name="Calculation 8" xfId="1379" xr:uid="{00000000-0005-0000-0000-000042050000}"/>
    <cellStyle name="Calculation 8 2" xfId="1380" xr:uid="{00000000-0005-0000-0000-000043050000}"/>
    <cellStyle name="Calculation 8 4" xfId="1381" xr:uid="{00000000-0005-0000-0000-000044050000}"/>
    <cellStyle name="Calculation 8 5" xfId="1382" xr:uid="{00000000-0005-0000-0000-000045050000}"/>
    <cellStyle name="Calculation 9" xfId="1383" xr:uid="{00000000-0005-0000-0000-000046050000}"/>
    <cellStyle name="Calculation 9 2" xfId="1384" xr:uid="{00000000-0005-0000-0000-000047050000}"/>
    <cellStyle name="Calculation 9 4" xfId="1385" xr:uid="{00000000-0005-0000-0000-000048050000}"/>
    <cellStyle name="Calculation 9 5" xfId="1386" xr:uid="{00000000-0005-0000-0000-000049050000}"/>
    <cellStyle name="Calculation 9 6" xfId="1387" xr:uid="{00000000-0005-0000-0000-00004A050000}"/>
    <cellStyle name="Check Cell 10" xfId="1388" xr:uid="{00000000-0005-0000-0000-00004B050000}"/>
    <cellStyle name="Check Cell 10 2" xfId="1389" xr:uid="{00000000-0005-0000-0000-00004C050000}"/>
    <cellStyle name="Check Cell 10 3" xfId="1390" xr:uid="{00000000-0005-0000-0000-00004D050000}"/>
    <cellStyle name="Check Cell 10 4" xfId="1391" xr:uid="{00000000-0005-0000-0000-00004E050000}"/>
    <cellStyle name="Check Cell 10 5" xfId="1392" xr:uid="{00000000-0005-0000-0000-00004F050000}"/>
    <cellStyle name="Check Cell 10 6" xfId="1393" xr:uid="{00000000-0005-0000-0000-000050050000}"/>
    <cellStyle name="Check Cell 11" xfId="1394" xr:uid="{00000000-0005-0000-0000-000051050000}"/>
    <cellStyle name="Check Cell 11 2" xfId="1395" xr:uid="{00000000-0005-0000-0000-000052050000}"/>
    <cellStyle name="Check Cell 11 4" xfId="1396" xr:uid="{00000000-0005-0000-0000-000053050000}"/>
    <cellStyle name="Check Cell 11 6" xfId="1397" xr:uid="{00000000-0005-0000-0000-000054050000}"/>
    <cellStyle name="Check Cell 12" xfId="1398" xr:uid="{00000000-0005-0000-0000-000055050000}"/>
    <cellStyle name="Check Cell 12 2" xfId="1399" xr:uid="{00000000-0005-0000-0000-000056050000}"/>
    <cellStyle name="Check Cell 12 3" xfId="1400" xr:uid="{00000000-0005-0000-0000-000057050000}"/>
    <cellStyle name="Check Cell 12 4" xfId="1401" xr:uid="{00000000-0005-0000-0000-000058050000}"/>
    <cellStyle name="Check Cell 12 5" xfId="1402" xr:uid="{00000000-0005-0000-0000-000059050000}"/>
    <cellStyle name="Check Cell 12 6" xfId="1403" xr:uid="{00000000-0005-0000-0000-00005A050000}"/>
    <cellStyle name="Check Cell 13" xfId="1404" xr:uid="{00000000-0005-0000-0000-00005B050000}"/>
    <cellStyle name="Check Cell 13 2" xfId="1405" xr:uid="{00000000-0005-0000-0000-00005C050000}"/>
    <cellStyle name="Check Cell 13 3" xfId="1406" xr:uid="{00000000-0005-0000-0000-00005D050000}"/>
    <cellStyle name="Check Cell 13 4" xfId="1407" xr:uid="{00000000-0005-0000-0000-00005E050000}"/>
    <cellStyle name="Check Cell 13 5" xfId="1408" xr:uid="{00000000-0005-0000-0000-00005F050000}"/>
    <cellStyle name="Check Cell 13 6" xfId="1409" xr:uid="{00000000-0005-0000-0000-000060050000}"/>
    <cellStyle name="Check Cell 14" xfId="1410" xr:uid="{00000000-0005-0000-0000-000061050000}"/>
    <cellStyle name="Check Cell 14 2" xfId="1411" xr:uid="{00000000-0005-0000-0000-000062050000}"/>
    <cellStyle name="Check Cell 15 2" xfId="1412" xr:uid="{00000000-0005-0000-0000-000063050000}"/>
    <cellStyle name="Check Cell 16" xfId="1413" xr:uid="{00000000-0005-0000-0000-000064050000}"/>
    <cellStyle name="Check Cell 2" xfId="1414" xr:uid="{00000000-0005-0000-0000-000065050000}"/>
    <cellStyle name="Check Cell 2 10" xfId="1415" xr:uid="{00000000-0005-0000-0000-000066050000}"/>
    <cellStyle name="Check Cell 2 11" xfId="1416" xr:uid="{00000000-0005-0000-0000-000067050000}"/>
    <cellStyle name="Check Cell 2 12" xfId="1417" xr:uid="{00000000-0005-0000-0000-000068050000}"/>
    <cellStyle name="Check Cell 2 13" xfId="1418" xr:uid="{00000000-0005-0000-0000-000069050000}"/>
    <cellStyle name="Check Cell 2 2" xfId="1419" xr:uid="{00000000-0005-0000-0000-00006A050000}"/>
    <cellStyle name="Check Cell 2 3" xfId="1420" xr:uid="{00000000-0005-0000-0000-00006B050000}"/>
    <cellStyle name="Check Cell 2 4" xfId="1421" xr:uid="{00000000-0005-0000-0000-00006C050000}"/>
    <cellStyle name="Check Cell 2 5" xfId="1422" xr:uid="{00000000-0005-0000-0000-00006D050000}"/>
    <cellStyle name="Check Cell 2 6" xfId="1423" xr:uid="{00000000-0005-0000-0000-00006E050000}"/>
    <cellStyle name="Check Cell 2 7" xfId="1424" xr:uid="{00000000-0005-0000-0000-00006F050000}"/>
    <cellStyle name="Check Cell 2 9" xfId="1425" xr:uid="{00000000-0005-0000-0000-000070050000}"/>
    <cellStyle name="Check Cell 3" xfId="1426" xr:uid="{00000000-0005-0000-0000-000071050000}"/>
    <cellStyle name="Check Cell 4" xfId="1427" xr:uid="{00000000-0005-0000-0000-000072050000}"/>
    <cellStyle name="Check Cell 5" xfId="1428" xr:uid="{00000000-0005-0000-0000-000073050000}"/>
    <cellStyle name="Check Cell 6" xfId="1429" xr:uid="{00000000-0005-0000-0000-000074050000}"/>
    <cellStyle name="Check Cell 7" xfId="1430" xr:uid="{00000000-0005-0000-0000-000075050000}"/>
    <cellStyle name="Check Cell 8" xfId="1431" xr:uid="{00000000-0005-0000-0000-000076050000}"/>
    <cellStyle name="Check Cell 8 2" xfId="1432" xr:uid="{00000000-0005-0000-0000-000077050000}"/>
    <cellStyle name="Check Cell 8 3" xfId="1433" xr:uid="{00000000-0005-0000-0000-000078050000}"/>
    <cellStyle name="Check Cell 8 4" xfId="1434" xr:uid="{00000000-0005-0000-0000-000079050000}"/>
    <cellStyle name="Check Cell 8 5" xfId="1435" xr:uid="{00000000-0005-0000-0000-00007A050000}"/>
    <cellStyle name="Check Cell 8 6" xfId="1436" xr:uid="{00000000-0005-0000-0000-00007B050000}"/>
    <cellStyle name="Check Cell 9" xfId="1437" xr:uid="{00000000-0005-0000-0000-00007C050000}"/>
    <cellStyle name="Check Cell 9 2" xfId="1438" xr:uid="{00000000-0005-0000-0000-00007D050000}"/>
    <cellStyle name="Check Cell 9 3" xfId="1439" xr:uid="{00000000-0005-0000-0000-00007E050000}"/>
    <cellStyle name="Check Cell 9 4" xfId="1440" xr:uid="{00000000-0005-0000-0000-00007F050000}"/>
    <cellStyle name="Check Cell 9 5" xfId="1441" xr:uid="{00000000-0005-0000-0000-000080050000}"/>
    <cellStyle name="Explanatory Text 10" xfId="1442" xr:uid="{00000000-0005-0000-0000-000081050000}"/>
    <cellStyle name="Explanatory Text 10 2" xfId="1443" xr:uid="{00000000-0005-0000-0000-000082050000}"/>
    <cellStyle name="Explanatory Text 10 3" xfId="1444" xr:uid="{00000000-0005-0000-0000-000083050000}"/>
    <cellStyle name="Explanatory Text 10 4" xfId="1445" xr:uid="{00000000-0005-0000-0000-000084050000}"/>
    <cellStyle name="Explanatory Text 10 5" xfId="1446" xr:uid="{00000000-0005-0000-0000-000085050000}"/>
    <cellStyle name="Explanatory Text 10 6" xfId="1447" xr:uid="{00000000-0005-0000-0000-000086050000}"/>
    <cellStyle name="Explanatory Text 11" xfId="1448" xr:uid="{00000000-0005-0000-0000-000087050000}"/>
    <cellStyle name="Explanatory Text 11 2" xfId="1449" xr:uid="{00000000-0005-0000-0000-000088050000}"/>
    <cellStyle name="Explanatory Text 11 3" xfId="1450" xr:uid="{00000000-0005-0000-0000-000089050000}"/>
    <cellStyle name="Explanatory Text 11 5" xfId="1451" xr:uid="{00000000-0005-0000-0000-00008A050000}"/>
    <cellStyle name="Explanatory Text 11 6" xfId="1452" xr:uid="{00000000-0005-0000-0000-00008B050000}"/>
    <cellStyle name="Explanatory Text 12 2" xfId="1453" xr:uid="{00000000-0005-0000-0000-00008C050000}"/>
    <cellStyle name="Explanatory Text 12 3" xfId="1454" xr:uid="{00000000-0005-0000-0000-00008D050000}"/>
    <cellStyle name="Explanatory Text 12 4" xfId="1455" xr:uid="{00000000-0005-0000-0000-00008E050000}"/>
    <cellStyle name="Explanatory Text 12 5" xfId="1456" xr:uid="{00000000-0005-0000-0000-00008F050000}"/>
    <cellStyle name="Explanatory Text 12 6" xfId="1457" xr:uid="{00000000-0005-0000-0000-000090050000}"/>
    <cellStyle name="Explanatory Text 13" xfId="1458" xr:uid="{00000000-0005-0000-0000-000091050000}"/>
    <cellStyle name="Explanatory Text 13 2" xfId="1459" xr:uid="{00000000-0005-0000-0000-000092050000}"/>
    <cellStyle name="Explanatory Text 13 3" xfId="1460" xr:uid="{00000000-0005-0000-0000-000093050000}"/>
    <cellStyle name="Explanatory Text 13 4" xfId="1461" xr:uid="{00000000-0005-0000-0000-000094050000}"/>
    <cellStyle name="Explanatory Text 13 5" xfId="1462" xr:uid="{00000000-0005-0000-0000-000095050000}"/>
    <cellStyle name="Explanatory Text 13 6" xfId="1463" xr:uid="{00000000-0005-0000-0000-000096050000}"/>
    <cellStyle name="Explanatory Text 14 2" xfId="1464" xr:uid="{00000000-0005-0000-0000-000097050000}"/>
    <cellStyle name="Explanatory Text 15 2" xfId="1465" xr:uid="{00000000-0005-0000-0000-000098050000}"/>
    <cellStyle name="Explanatory Text 2" xfId="1466" xr:uid="{00000000-0005-0000-0000-000099050000}"/>
    <cellStyle name="Explanatory Text 2 10" xfId="1467" xr:uid="{00000000-0005-0000-0000-00009A050000}"/>
    <cellStyle name="Explanatory Text 2 11" xfId="1468" xr:uid="{00000000-0005-0000-0000-00009B050000}"/>
    <cellStyle name="Explanatory Text 2 12" xfId="1469" xr:uid="{00000000-0005-0000-0000-00009C050000}"/>
    <cellStyle name="Explanatory Text 2 13" xfId="1470" xr:uid="{00000000-0005-0000-0000-00009D050000}"/>
    <cellStyle name="Explanatory Text 2 2" xfId="1471" xr:uid="{00000000-0005-0000-0000-00009E050000}"/>
    <cellStyle name="Explanatory Text 2 3" xfId="1472" xr:uid="{00000000-0005-0000-0000-00009F050000}"/>
    <cellStyle name="Explanatory Text 2 4" xfId="1473" xr:uid="{00000000-0005-0000-0000-0000A0050000}"/>
    <cellStyle name="Explanatory Text 2 5" xfId="1474" xr:uid="{00000000-0005-0000-0000-0000A1050000}"/>
    <cellStyle name="Explanatory Text 2 6" xfId="1475" xr:uid="{00000000-0005-0000-0000-0000A2050000}"/>
    <cellStyle name="Explanatory Text 2 7" xfId="1476" xr:uid="{00000000-0005-0000-0000-0000A3050000}"/>
    <cellStyle name="Explanatory Text 2 8" xfId="1477" xr:uid="{00000000-0005-0000-0000-0000A4050000}"/>
    <cellStyle name="Explanatory Text 2 9" xfId="1478" xr:uid="{00000000-0005-0000-0000-0000A5050000}"/>
    <cellStyle name="Explanatory Text 3" xfId="1479" xr:uid="{00000000-0005-0000-0000-0000A6050000}"/>
    <cellStyle name="Explanatory Text 4" xfId="1480" xr:uid="{00000000-0005-0000-0000-0000A7050000}"/>
    <cellStyle name="Explanatory Text 5" xfId="1481" xr:uid="{00000000-0005-0000-0000-0000A8050000}"/>
    <cellStyle name="Explanatory Text 6" xfId="1482" xr:uid="{00000000-0005-0000-0000-0000A9050000}"/>
    <cellStyle name="Explanatory Text 7" xfId="1483" xr:uid="{00000000-0005-0000-0000-0000AA050000}"/>
    <cellStyle name="Explanatory Text 8" xfId="1484" xr:uid="{00000000-0005-0000-0000-0000AB050000}"/>
    <cellStyle name="Explanatory Text 8 2" xfId="1485" xr:uid="{00000000-0005-0000-0000-0000AC050000}"/>
    <cellStyle name="Explanatory Text 8 3" xfId="1486" xr:uid="{00000000-0005-0000-0000-0000AD050000}"/>
    <cellStyle name="Explanatory Text 8 4" xfId="1487" xr:uid="{00000000-0005-0000-0000-0000AE050000}"/>
    <cellStyle name="Explanatory Text 8 5" xfId="1488" xr:uid="{00000000-0005-0000-0000-0000AF050000}"/>
    <cellStyle name="Explanatory Text 8 6" xfId="1489" xr:uid="{00000000-0005-0000-0000-0000B0050000}"/>
    <cellStyle name="Explanatory Text 9" xfId="1490" xr:uid="{00000000-0005-0000-0000-0000B1050000}"/>
    <cellStyle name="Explanatory Text 9 2" xfId="1491" xr:uid="{00000000-0005-0000-0000-0000B2050000}"/>
    <cellStyle name="Explanatory Text 9 3" xfId="1492" xr:uid="{00000000-0005-0000-0000-0000B3050000}"/>
    <cellStyle name="Explanatory Text 9 4" xfId="1493" xr:uid="{00000000-0005-0000-0000-0000B4050000}"/>
    <cellStyle name="Explanatory Text 9 6" xfId="1494" xr:uid="{00000000-0005-0000-0000-0000B5050000}"/>
    <cellStyle name="Good 10" xfId="1495" xr:uid="{00000000-0005-0000-0000-0000B6050000}"/>
    <cellStyle name="Good 10 2" xfId="1496" xr:uid="{00000000-0005-0000-0000-0000B7050000}"/>
    <cellStyle name="Good 10 3" xfId="1497" xr:uid="{00000000-0005-0000-0000-0000B8050000}"/>
    <cellStyle name="Good 10 4" xfId="1498" xr:uid="{00000000-0005-0000-0000-0000B9050000}"/>
    <cellStyle name="Good 10 5" xfId="1499" xr:uid="{00000000-0005-0000-0000-0000BA050000}"/>
    <cellStyle name="Good 10 6" xfId="1500" xr:uid="{00000000-0005-0000-0000-0000BB050000}"/>
    <cellStyle name="Good 11" xfId="1501" xr:uid="{00000000-0005-0000-0000-0000BC050000}"/>
    <cellStyle name="Good 11 2" xfId="1502" xr:uid="{00000000-0005-0000-0000-0000BD050000}"/>
    <cellStyle name="Good 11 3" xfId="1503" xr:uid="{00000000-0005-0000-0000-0000BE050000}"/>
    <cellStyle name="Good 11 4" xfId="1504" xr:uid="{00000000-0005-0000-0000-0000BF050000}"/>
    <cellStyle name="Good 11 5" xfId="1505" xr:uid="{00000000-0005-0000-0000-0000C0050000}"/>
    <cellStyle name="Good 12" xfId="1506" xr:uid="{00000000-0005-0000-0000-0000C1050000}"/>
    <cellStyle name="Good 12 2" xfId="1507" xr:uid="{00000000-0005-0000-0000-0000C2050000}"/>
    <cellStyle name="Good 12 4" xfId="1508" xr:uid="{00000000-0005-0000-0000-0000C3050000}"/>
    <cellStyle name="Good 12 6" xfId="1509" xr:uid="{00000000-0005-0000-0000-0000C4050000}"/>
    <cellStyle name="Good 13" xfId="1510" xr:uid="{00000000-0005-0000-0000-0000C5050000}"/>
    <cellStyle name="Good 13 2" xfId="1511" xr:uid="{00000000-0005-0000-0000-0000C6050000}"/>
    <cellStyle name="Good 13 3" xfId="1512" xr:uid="{00000000-0005-0000-0000-0000C7050000}"/>
    <cellStyle name="Good 13 4" xfId="1513" xr:uid="{00000000-0005-0000-0000-0000C8050000}"/>
    <cellStyle name="Good 13 5" xfId="1514" xr:uid="{00000000-0005-0000-0000-0000C9050000}"/>
    <cellStyle name="Good 13 6" xfId="1515" xr:uid="{00000000-0005-0000-0000-0000CA050000}"/>
    <cellStyle name="Good 14" xfId="1516" xr:uid="{00000000-0005-0000-0000-0000CB050000}"/>
    <cellStyle name="Good 14 2" xfId="1517" xr:uid="{00000000-0005-0000-0000-0000CC050000}"/>
    <cellStyle name="Good 15" xfId="1518" xr:uid="{00000000-0005-0000-0000-0000CD050000}"/>
    <cellStyle name="Good 15 2" xfId="1519" xr:uid="{00000000-0005-0000-0000-0000CE050000}"/>
    <cellStyle name="Good 16" xfId="1520" xr:uid="{00000000-0005-0000-0000-0000CF050000}"/>
    <cellStyle name="Good 2" xfId="17" xr:uid="{00000000-0005-0000-0000-0000D0050000}"/>
    <cellStyle name="Good 2 10" xfId="1521" xr:uid="{00000000-0005-0000-0000-0000D1050000}"/>
    <cellStyle name="Good 2 11" xfId="1522" xr:uid="{00000000-0005-0000-0000-0000D2050000}"/>
    <cellStyle name="Good 2 12" xfId="1523" xr:uid="{00000000-0005-0000-0000-0000D3050000}"/>
    <cellStyle name="Good 2 13" xfId="1524" xr:uid="{00000000-0005-0000-0000-0000D4050000}"/>
    <cellStyle name="Good 2 14" xfId="1525" xr:uid="{00000000-0005-0000-0000-0000D5050000}"/>
    <cellStyle name="Good 2 2" xfId="1526" xr:uid="{00000000-0005-0000-0000-0000D6050000}"/>
    <cellStyle name="Good 2 3" xfId="1527" xr:uid="{00000000-0005-0000-0000-0000D7050000}"/>
    <cellStyle name="Good 2 4" xfId="1528" xr:uid="{00000000-0005-0000-0000-0000D8050000}"/>
    <cellStyle name="Good 2 5" xfId="1529" xr:uid="{00000000-0005-0000-0000-0000D9050000}"/>
    <cellStyle name="Good 2 6" xfId="1530" xr:uid="{00000000-0005-0000-0000-0000DA050000}"/>
    <cellStyle name="Good 2 7" xfId="1531" xr:uid="{00000000-0005-0000-0000-0000DB050000}"/>
    <cellStyle name="Good 2 8" xfId="1532" xr:uid="{00000000-0005-0000-0000-0000DC050000}"/>
    <cellStyle name="Good 2 9" xfId="1533" xr:uid="{00000000-0005-0000-0000-0000DD050000}"/>
    <cellStyle name="Good 3" xfId="1534" xr:uid="{00000000-0005-0000-0000-0000DE050000}"/>
    <cellStyle name="Good 4" xfId="1535" xr:uid="{00000000-0005-0000-0000-0000DF050000}"/>
    <cellStyle name="Good 5" xfId="1536" xr:uid="{00000000-0005-0000-0000-0000E0050000}"/>
    <cellStyle name="Good 6" xfId="1537" xr:uid="{00000000-0005-0000-0000-0000E1050000}"/>
    <cellStyle name="Good 7" xfId="1538" xr:uid="{00000000-0005-0000-0000-0000E2050000}"/>
    <cellStyle name="Good 8" xfId="1539" xr:uid="{00000000-0005-0000-0000-0000E3050000}"/>
    <cellStyle name="Good 8 2" xfId="1540" xr:uid="{00000000-0005-0000-0000-0000E4050000}"/>
    <cellStyle name="Good 8 4" xfId="1541" xr:uid="{00000000-0005-0000-0000-0000E5050000}"/>
    <cellStyle name="Good 8 5" xfId="1542" xr:uid="{00000000-0005-0000-0000-0000E6050000}"/>
    <cellStyle name="Good 8 6" xfId="1543" xr:uid="{00000000-0005-0000-0000-0000E7050000}"/>
    <cellStyle name="Good 9" xfId="1544" xr:uid="{00000000-0005-0000-0000-0000E8050000}"/>
    <cellStyle name="Good 9 2" xfId="1545" xr:uid="{00000000-0005-0000-0000-0000E9050000}"/>
    <cellStyle name="Good 9 3" xfId="1546" xr:uid="{00000000-0005-0000-0000-0000EA050000}"/>
    <cellStyle name="Good 9 4" xfId="1547" xr:uid="{00000000-0005-0000-0000-0000EB050000}"/>
    <cellStyle name="Good 9 5" xfId="1548" xr:uid="{00000000-0005-0000-0000-0000EC050000}"/>
    <cellStyle name="Good 9 6" xfId="1549" xr:uid="{00000000-0005-0000-0000-0000ED050000}"/>
    <cellStyle name="Heading 1 10" xfId="1550" xr:uid="{00000000-0005-0000-0000-0000EE050000}"/>
    <cellStyle name="Heading 1 10 2" xfId="1551" xr:uid="{00000000-0005-0000-0000-0000EF050000}"/>
    <cellStyle name="Heading 1 10 3" xfId="1552" xr:uid="{00000000-0005-0000-0000-0000F0050000}"/>
    <cellStyle name="Heading 1 10 4" xfId="1553" xr:uid="{00000000-0005-0000-0000-0000F1050000}"/>
    <cellStyle name="Heading 1 10 5" xfId="1554" xr:uid="{00000000-0005-0000-0000-0000F2050000}"/>
    <cellStyle name="Heading 1 10 6" xfId="1555" xr:uid="{00000000-0005-0000-0000-0000F3050000}"/>
    <cellStyle name="Heading 1 11" xfId="1556" xr:uid="{00000000-0005-0000-0000-0000F4050000}"/>
    <cellStyle name="Heading 1 11 2" xfId="1557" xr:uid="{00000000-0005-0000-0000-0000F5050000}"/>
    <cellStyle name="Heading 1 11 3" xfId="1558" xr:uid="{00000000-0005-0000-0000-0000F6050000}"/>
    <cellStyle name="Heading 1 11 4" xfId="1559" xr:uid="{00000000-0005-0000-0000-0000F7050000}"/>
    <cellStyle name="Heading 1 11 5" xfId="1560" xr:uid="{00000000-0005-0000-0000-0000F8050000}"/>
    <cellStyle name="Heading 1 11 6" xfId="1561" xr:uid="{00000000-0005-0000-0000-0000F9050000}"/>
    <cellStyle name="Heading 1 12" xfId="1562" xr:uid="{00000000-0005-0000-0000-0000FA050000}"/>
    <cellStyle name="Heading 1 12 2" xfId="1563" xr:uid="{00000000-0005-0000-0000-0000FB050000}"/>
    <cellStyle name="Heading 1 12 3" xfId="1564" xr:uid="{00000000-0005-0000-0000-0000FC050000}"/>
    <cellStyle name="Heading 1 12 5" xfId="1565" xr:uid="{00000000-0005-0000-0000-0000FD050000}"/>
    <cellStyle name="Heading 1 12 6" xfId="1566" xr:uid="{00000000-0005-0000-0000-0000FE050000}"/>
    <cellStyle name="Heading 1 13" xfId="1567" xr:uid="{00000000-0005-0000-0000-0000FF050000}"/>
    <cellStyle name="Heading 1 13 2" xfId="1568" xr:uid="{00000000-0005-0000-0000-000000060000}"/>
    <cellStyle name="Heading 1 13 4" xfId="1569" xr:uid="{00000000-0005-0000-0000-000001060000}"/>
    <cellStyle name="Heading 1 13 5" xfId="1570" xr:uid="{00000000-0005-0000-0000-000002060000}"/>
    <cellStyle name="Heading 1 13 6" xfId="1571" xr:uid="{00000000-0005-0000-0000-000003060000}"/>
    <cellStyle name="Heading 1 14" xfId="1572" xr:uid="{00000000-0005-0000-0000-000004060000}"/>
    <cellStyle name="Heading 1 14 2" xfId="1573" xr:uid="{00000000-0005-0000-0000-000005060000}"/>
    <cellStyle name="Heading 1 15" xfId="1574" xr:uid="{00000000-0005-0000-0000-000006060000}"/>
    <cellStyle name="Heading 1 15 2" xfId="1575" xr:uid="{00000000-0005-0000-0000-000007060000}"/>
    <cellStyle name="Heading 1 16" xfId="1576" xr:uid="{00000000-0005-0000-0000-000008060000}"/>
    <cellStyle name="Heading 1 2" xfId="1577" xr:uid="{00000000-0005-0000-0000-000009060000}"/>
    <cellStyle name="Heading 1 2 10" xfId="1578" xr:uid="{00000000-0005-0000-0000-00000A060000}"/>
    <cellStyle name="Heading 1 2 11" xfId="1579" xr:uid="{00000000-0005-0000-0000-00000B060000}"/>
    <cellStyle name="Heading 1 2 12" xfId="1580" xr:uid="{00000000-0005-0000-0000-00000C060000}"/>
    <cellStyle name="Heading 1 2 2" xfId="1581" xr:uid="{00000000-0005-0000-0000-00000D060000}"/>
    <cellStyle name="Heading 1 2 3" xfId="1582" xr:uid="{00000000-0005-0000-0000-00000E060000}"/>
    <cellStyle name="Heading 1 2 5" xfId="1583" xr:uid="{00000000-0005-0000-0000-00000F060000}"/>
    <cellStyle name="Heading 1 2 7" xfId="1584" xr:uid="{00000000-0005-0000-0000-000010060000}"/>
    <cellStyle name="Heading 1 2 8" xfId="1585" xr:uid="{00000000-0005-0000-0000-000011060000}"/>
    <cellStyle name="Heading 1 2 9" xfId="1586" xr:uid="{00000000-0005-0000-0000-000012060000}"/>
    <cellStyle name="Heading 1 3" xfId="1587" xr:uid="{00000000-0005-0000-0000-000013060000}"/>
    <cellStyle name="Heading 1 4" xfId="1588" xr:uid="{00000000-0005-0000-0000-000014060000}"/>
    <cellStyle name="Heading 1 5" xfId="1589" xr:uid="{00000000-0005-0000-0000-000015060000}"/>
    <cellStyle name="Heading 1 6" xfId="1590" xr:uid="{00000000-0005-0000-0000-000016060000}"/>
    <cellStyle name="Heading 1 7" xfId="1591" xr:uid="{00000000-0005-0000-0000-000017060000}"/>
    <cellStyle name="Heading 1 8" xfId="1592" xr:uid="{00000000-0005-0000-0000-000018060000}"/>
    <cellStyle name="Heading 1 8 2" xfId="1593" xr:uid="{00000000-0005-0000-0000-000019060000}"/>
    <cellStyle name="Heading 1 8 4" xfId="1594" xr:uid="{00000000-0005-0000-0000-00001A060000}"/>
    <cellStyle name="Heading 1 8 5" xfId="1595" xr:uid="{00000000-0005-0000-0000-00001B060000}"/>
    <cellStyle name="Heading 1 9" xfId="1596" xr:uid="{00000000-0005-0000-0000-00001C060000}"/>
    <cellStyle name="Heading 1 9 2" xfId="1597" xr:uid="{00000000-0005-0000-0000-00001D060000}"/>
    <cellStyle name="Heading 1 9 4" xfId="1598" xr:uid="{00000000-0005-0000-0000-00001E060000}"/>
    <cellStyle name="Heading 1 9 5" xfId="1599" xr:uid="{00000000-0005-0000-0000-00001F060000}"/>
    <cellStyle name="Heading 1 9 6" xfId="1600" xr:uid="{00000000-0005-0000-0000-000020060000}"/>
    <cellStyle name="Heading 2 10" xfId="1601" xr:uid="{00000000-0005-0000-0000-000021060000}"/>
    <cellStyle name="Heading 2 10 2" xfId="1602" xr:uid="{00000000-0005-0000-0000-000022060000}"/>
    <cellStyle name="Heading 2 10 3" xfId="1603" xr:uid="{00000000-0005-0000-0000-000023060000}"/>
    <cellStyle name="Heading 2 10 4" xfId="1604" xr:uid="{00000000-0005-0000-0000-000024060000}"/>
    <cellStyle name="Heading 2 10 5" xfId="1605" xr:uid="{00000000-0005-0000-0000-000025060000}"/>
    <cellStyle name="Heading 2 10 6" xfId="1606" xr:uid="{00000000-0005-0000-0000-000026060000}"/>
    <cellStyle name="Heading 2 11" xfId="1607" xr:uid="{00000000-0005-0000-0000-000027060000}"/>
    <cellStyle name="Heading 2 11 2" xfId="1608" xr:uid="{00000000-0005-0000-0000-000028060000}"/>
    <cellStyle name="Heading 2 11 3" xfId="1609" xr:uid="{00000000-0005-0000-0000-000029060000}"/>
    <cellStyle name="Heading 2 11 5" xfId="1610" xr:uid="{00000000-0005-0000-0000-00002A060000}"/>
    <cellStyle name="Heading 2 12" xfId="1611" xr:uid="{00000000-0005-0000-0000-00002B060000}"/>
    <cellStyle name="Heading 2 12 3" xfId="1612" xr:uid="{00000000-0005-0000-0000-00002C060000}"/>
    <cellStyle name="Heading 2 12 4" xfId="1613" xr:uid="{00000000-0005-0000-0000-00002D060000}"/>
    <cellStyle name="Heading 2 12 5" xfId="1614" xr:uid="{00000000-0005-0000-0000-00002E060000}"/>
    <cellStyle name="Heading 2 12 6" xfId="1615" xr:uid="{00000000-0005-0000-0000-00002F060000}"/>
    <cellStyle name="Heading 2 13" xfId="1616" xr:uid="{00000000-0005-0000-0000-000030060000}"/>
    <cellStyle name="Heading 2 13 2" xfId="1617" xr:uid="{00000000-0005-0000-0000-000031060000}"/>
    <cellStyle name="Heading 2 13 3" xfId="1618" xr:uid="{00000000-0005-0000-0000-000032060000}"/>
    <cellStyle name="Heading 2 13 4" xfId="1619" xr:uid="{00000000-0005-0000-0000-000033060000}"/>
    <cellStyle name="Heading 2 13 5" xfId="1620" xr:uid="{00000000-0005-0000-0000-000034060000}"/>
    <cellStyle name="Heading 2 13 6" xfId="1621" xr:uid="{00000000-0005-0000-0000-000035060000}"/>
    <cellStyle name="Heading 2 14" xfId="1622" xr:uid="{00000000-0005-0000-0000-000036060000}"/>
    <cellStyle name="Heading 2 14 2" xfId="1623" xr:uid="{00000000-0005-0000-0000-000037060000}"/>
    <cellStyle name="Heading 2 15" xfId="1624" xr:uid="{00000000-0005-0000-0000-000038060000}"/>
    <cellStyle name="Heading 2 15 2" xfId="1625" xr:uid="{00000000-0005-0000-0000-000039060000}"/>
    <cellStyle name="Heading 2 2" xfId="1626" xr:uid="{00000000-0005-0000-0000-00003A060000}"/>
    <cellStyle name="Heading 2 2 10" xfId="1627" xr:uid="{00000000-0005-0000-0000-00003B060000}"/>
    <cellStyle name="Heading 2 2 11" xfId="1628" xr:uid="{00000000-0005-0000-0000-00003C060000}"/>
    <cellStyle name="Heading 2 2 12" xfId="1629" xr:uid="{00000000-0005-0000-0000-00003D060000}"/>
    <cellStyle name="Heading 2 2 13" xfId="1630" xr:uid="{00000000-0005-0000-0000-00003E060000}"/>
    <cellStyle name="Heading 2 2 2" xfId="1631" xr:uid="{00000000-0005-0000-0000-00003F060000}"/>
    <cellStyle name="Heading 2 2 3" xfId="1632" xr:uid="{00000000-0005-0000-0000-000040060000}"/>
    <cellStyle name="Heading 2 2 5" xfId="1633" xr:uid="{00000000-0005-0000-0000-000041060000}"/>
    <cellStyle name="Heading 2 2 6" xfId="1634" xr:uid="{00000000-0005-0000-0000-000042060000}"/>
    <cellStyle name="Heading 2 2 8" xfId="1635" xr:uid="{00000000-0005-0000-0000-000043060000}"/>
    <cellStyle name="Heading 2 3" xfId="1636" xr:uid="{00000000-0005-0000-0000-000044060000}"/>
    <cellStyle name="Heading 2 4" xfId="1637" xr:uid="{00000000-0005-0000-0000-000045060000}"/>
    <cellStyle name="Heading 2 5" xfId="1638" xr:uid="{00000000-0005-0000-0000-000046060000}"/>
    <cellStyle name="Heading 2 6" xfId="1639" xr:uid="{00000000-0005-0000-0000-000047060000}"/>
    <cellStyle name="Heading 2 7" xfId="1640" xr:uid="{00000000-0005-0000-0000-000048060000}"/>
    <cellStyle name="Heading 2 8" xfId="1641" xr:uid="{00000000-0005-0000-0000-000049060000}"/>
    <cellStyle name="Heading 2 8 2" xfId="1642" xr:uid="{00000000-0005-0000-0000-00004A060000}"/>
    <cellStyle name="Heading 2 8 3" xfId="1643" xr:uid="{00000000-0005-0000-0000-00004B060000}"/>
    <cellStyle name="Heading 2 8 4" xfId="1644" xr:uid="{00000000-0005-0000-0000-00004C060000}"/>
    <cellStyle name="Heading 2 8 5" xfId="1645" xr:uid="{00000000-0005-0000-0000-00004D060000}"/>
    <cellStyle name="Heading 2 8 6" xfId="1646" xr:uid="{00000000-0005-0000-0000-00004E060000}"/>
    <cellStyle name="Heading 2 9" xfId="1647" xr:uid="{00000000-0005-0000-0000-00004F060000}"/>
    <cellStyle name="Heading 2 9 2" xfId="1648" xr:uid="{00000000-0005-0000-0000-000050060000}"/>
    <cellStyle name="Heading 2 9 4" xfId="1649" xr:uid="{00000000-0005-0000-0000-000051060000}"/>
    <cellStyle name="Heading 2 9 5" xfId="1650" xr:uid="{00000000-0005-0000-0000-000052060000}"/>
    <cellStyle name="Heading 3 10" xfId="1651" xr:uid="{00000000-0005-0000-0000-000053060000}"/>
    <cellStyle name="Heading 3 10 2" xfId="1652" xr:uid="{00000000-0005-0000-0000-000054060000}"/>
    <cellStyle name="Heading 3 10 3" xfId="1653" xr:uid="{00000000-0005-0000-0000-000055060000}"/>
    <cellStyle name="Heading 3 10 4" xfId="1654" xr:uid="{00000000-0005-0000-0000-000056060000}"/>
    <cellStyle name="Heading 3 10 5" xfId="1655" xr:uid="{00000000-0005-0000-0000-000057060000}"/>
    <cellStyle name="Heading 3 10 6" xfId="1656" xr:uid="{00000000-0005-0000-0000-000058060000}"/>
    <cellStyle name="Heading 3 11" xfId="1657" xr:uid="{00000000-0005-0000-0000-000059060000}"/>
    <cellStyle name="Heading 3 11 2" xfId="1658" xr:uid="{00000000-0005-0000-0000-00005A060000}"/>
    <cellStyle name="Heading 3 11 3" xfId="1659" xr:uid="{00000000-0005-0000-0000-00005B060000}"/>
    <cellStyle name="Heading 3 11 4" xfId="1660" xr:uid="{00000000-0005-0000-0000-00005C060000}"/>
    <cellStyle name="Heading 3 11 5" xfId="1661" xr:uid="{00000000-0005-0000-0000-00005D060000}"/>
    <cellStyle name="Heading 3 12" xfId="1662" xr:uid="{00000000-0005-0000-0000-00005E060000}"/>
    <cellStyle name="Heading 3 12 2" xfId="1663" xr:uid="{00000000-0005-0000-0000-00005F060000}"/>
    <cellStyle name="Heading 3 12 4" xfId="1664" xr:uid="{00000000-0005-0000-0000-000060060000}"/>
    <cellStyle name="Heading 3 12 5" xfId="1665" xr:uid="{00000000-0005-0000-0000-000061060000}"/>
    <cellStyle name="Heading 3 13" xfId="1666" xr:uid="{00000000-0005-0000-0000-000062060000}"/>
    <cellStyle name="Heading 3 13 2" xfId="1667" xr:uid="{00000000-0005-0000-0000-000063060000}"/>
    <cellStyle name="Heading 3 13 3" xfId="1668" xr:uid="{00000000-0005-0000-0000-000064060000}"/>
    <cellStyle name="Heading 3 13 4" xfId="1669" xr:uid="{00000000-0005-0000-0000-000065060000}"/>
    <cellStyle name="Heading 3 13 5" xfId="1670" xr:uid="{00000000-0005-0000-0000-000066060000}"/>
    <cellStyle name="Heading 3 13 6" xfId="1671" xr:uid="{00000000-0005-0000-0000-000067060000}"/>
    <cellStyle name="Heading 3 14" xfId="1672" xr:uid="{00000000-0005-0000-0000-000068060000}"/>
    <cellStyle name="Heading 3 14 2" xfId="1673" xr:uid="{00000000-0005-0000-0000-000069060000}"/>
    <cellStyle name="Heading 3 15" xfId="1674" xr:uid="{00000000-0005-0000-0000-00006A060000}"/>
    <cellStyle name="Heading 3 15 2" xfId="1675" xr:uid="{00000000-0005-0000-0000-00006B060000}"/>
    <cellStyle name="Heading 3 16" xfId="1676" xr:uid="{00000000-0005-0000-0000-00006C060000}"/>
    <cellStyle name="Heading 3 17" xfId="1677" xr:uid="{00000000-0005-0000-0000-00006D060000}"/>
    <cellStyle name="Heading 3 2" xfId="1678" xr:uid="{00000000-0005-0000-0000-00006E060000}"/>
    <cellStyle name="Heading 3 2 10" xfId="1679" xr:uid="{00000000-0005-0000-0000-00006F060000}"/>
    <cellStyle name="Heading 3 2 11" xfId="1680" xr:uid="{00000000-0005-0000-0000-000070060000}"/>
    <cellStyle name="Heading 3 2 13" xfId="1681" xr:uid="{00000000-0005-0000-0000-000071060000}"/>
    <cellStyle name="Heading 3 2 3" xfId="1682" xr:uid="{00000000-0005-0000-0000-000072060000}"/>
    <cellStyle name="Heading 3 2 5" xfId="1683" xr:uid="{00000000-0005-0000-0000-000073060000}"/>
    <cellStyle name="Heading 3 2 6" xfId="1684" xr:uid="{00000000-0005-0000-0000-000074060000}"/>
    <cellStyle name="Heading 3 2 7" xfId="1685" xr:uid="{00000000-0005-0000-0000-000075060000}"/>
    <cellStyle name="Heading 3 2 8" xfId="1686" xr:uid="{00000000-0005-0000-0000-000076060000}"/>
    <cellStyle name="Heading 3 2 9" xfId="1687" xr:uid="{00000000-0005-0000-0000-000077060000}"/>
    <cellStyle name="Heading 3 3" xfId="1688" xr:uid="{00000000-0005-0000-0000-000078060000}"/>
    <cellStyle name="Heading 3 4" xfId="1689" xr:uid="{00000000-0005-0000-0000-000079060000}"/>
    <cellStyle name="Heading 3 5" xfId="1690" xr:uid="{00000000-0005-0000-0000-00007A060000}"/>
    <cellStyle name="Heading 3 6" xfId="1691" xr:uid="{00000000-0005-0000-0000-00007B060000}"/>
    <cellStyle name="Heading 3 7" xfId="1692" xr:uid="{00000000-0005-0000-0000-00007C060000}"/>
    <cellStyle name="Heading 3 8" xfId="1693" xr:uid="{00000000-0005-0000-0000-00007D060000}"/>
    <cellStyle name="Heading 3 8 2" xfId="1694" xr:uid="{00000000-0005-0000-0000-00007E060000}"/>
    <cellStyle name="Heading 3 8 3" xfId="1695" xr:uid="{00000000-0005-0000-0000-00007F060000}"/>
    <cellStyle name="Heading 3 8 4" xfId="1696" xr:uid="{00000000-0005-0000-0000-000080060000}"/>
    <cellStyle name="Heading 3 8 5" xfId="1697" xr:uid="{00000000-0005-0000-0000-000081060000}"/>
    <cellStyle name="Heading 3 8 6" xfId="1698" xr:uid="{00000000-0005-0000-0000-000082060000}"/>
    <cellStyle name="Heading 3 9" xfId="1699" xr:uid="{00000000-0005-0000-0000-000083060000}"/>
    <cellStyle name="Heading 3 9 2" xfId="1700" xr:uid="{00000000-0005-0000-0000-000084060000}"/>
    <cellStyle name="Heading 3 9 3" xfId="1701" xr:uid="{00000000-0005-0000-0000-000085060000}"/>
    <cellStyle name="Heading 3 9 4" xfId="1702" xr:uid="{00000000-0005-0000-0000-000086060000}"/>
    <cellStyle name="Heading 3 9 6" xfId="1703" xr:uid="{00000000-0005-0000-0000-000087060000}"/>
    <cellStyle name="Heading 4 10" xfId="1704" xr:uid="{00000000-0005-0000-0000-000088060000}"/>
    <cellStyle name="Heading 4 10 2" xfId="1705" xr:uid="{00000000-0005-0000-0000-000089060000}"/>
    <cellStyle name="Heading 4 10 4" xfId="1706" xr:uid="{00000000-0005-0000-0000-00008A060000}"/>
    <cellStyle name="Heading 4 10 5" xfId="1707" xr:uid="{00000000-0005-0000-0000-00008B060000}"/>
    <cellStyle name="Heading 4 10 6" xfId="1708" xr:uid="{00000000-0005-0000-0000-00008C060000}"/>
    <cellStyle name="Heading 4 11" xfId="1709" xr:uid="{00000000-0005-0000-0000-00008D060000}"/>
    <cellStyle name="Heading 4 11 2" xfId="1710" xr:uid="{00000000-0005-0000-0000-00008E060000}"/>
    <cellStyle name="Heading 4 11 3" xfId="1711" xr:uid="{00000000-0005-0000-0000-00008F060000}"/>
    <cellStyle name="Heading 4 11 4" xfId="1712" xr:uid="{00000000-0005-0000-0000-000090060000}"/>
    <cellStyle name="Heading 4 11 5" xfId="1713" xr:uid="{00000000-0005-0000-0000-000091060000}"/>
    <cellStyle name="Heading 4 11 6" xfId="1714" xr:uid="{00000000-0005-0000-0000-000092060000}"/>
    <cellStyle name="Heading 4 12" xfId="1715" xr:uid="{00000000-0005-0000-0000-000093060000}"/>
    <cellStyle name="Heading 4 12 2" xfId="1716" xr:uid="{00000000-0005-0000-0000-000094060000}"/>
    <cellStyle name="Heading 4 12 3" xfId="1717" xr:uid="{00000000-0005-0000-0000-000095060000}"/>
    <cellStyle name="Heading 4 12 5" xfId="1718" xr:uid="{00000000-0005-0000-0000-000096060000}"/>
    <cellStyle name="Heading 4 12 6" xfId="1719" xr:uid="{00000000-0005-0000-0000-000097060000}"/>
    <cellStyle name="Heading 4 13" xfId="1720" xr:uid="{00000000-0005-0000-0000-000098060000}"/>
    <cellStyle name="Heading 4 13 2" xfId="1721" xr:uid="{00000000-0005-0000-0000-000099060000}"/>
    <cellStyle name="Heading 4 13 3" xfId="1722" xr:uid="{00000000-0005-0000-0000-00009A060000}"/>
    <cellStyle name="Heading 4 13 5" xfId="1723" xr:uid="{00000000-0005-0000-0000-00009B060000}"/>
    <cellStyle name="Heading 4 13 6" xfId="1724" xr:uid="{00000000-0005-0000-0000-00009C060000}"/>
    <cellStyle name="Heading 4 14" xfId="1725" xr:uid="{00000000-0005-0000-0000-00009D060000}"/>
    <cellStyle name="Heading 4 14 2" xfId="1726" xr:uid="{00000000-0005-0000-0000-00009E060000}"/>
    <cellStyle name="Heading 4 15 2" xfId="1727" xr:uid="{00000000-0005-0000-0000-00009F060000}"/>
    <cellStyle name="Heading 4 16" xfId="1728" xr:uid="{00000000-0005-0000-0000-0000A0060000}"/>
    <cellStyle name="Heading 4 2" xfId="1729" xr:uid="{00000000-0005-0000-0000-0000A1060000}"/>
    <cellStyle name="Heading 4 2 10" xfId="1730" xr:uid="{00000000-0005-0000-0000-0000A2060000}"/>
    <cellStyle name="Heading 4 2 11" xfId="1731" xr:uid="{00000000-0005-0000-0000-0000A3060000}"/>
    <cellStyle name="Heading 4 2 12" xfId="1732" xr:uid="{00000000-0005-0000-0000-0000A4060000}"/>
    <cellStyle name="Heading 4 2 2" xfId="1733" xr:uid="{00000000-0005-0000-0000-0000A5060000}"/>
    <cellStyle name="Heading 4 2 3" xfId="1734" xr:uid="{00000000-0005-0000-0000-0000A6060000}"/>
    <cellStyle name="Heading 4 2 5" xfId="1735" xr:uid="{00000000-0005-0000-0000-0000A7060000}"/>
    <cellStyle name="Heading 4 2 6" xfId="1736" xr:uid="{00000000-0005-0000-0000-0000A8060000}"/>
    <cellStyle name="Heading 4 2 8" xfId="1737" xr:uid="{00000000-0005-0000-0000-0000A9060000}"/>
    <cellStyle name="Heading 4 2 9" xfId="1738" xr:uid="{00000000-0005-0000-0000-0000AA060000}"/>
    <cellStyle name="Heading 4 3" xfId="1739" xr:uid="{00000000-0005-0000-0000-0000AB060000}"/>
    <cellStyle name="Heading 4 4" xfId="1740" xr:uid="{00000000-0005-0000-0000-0000AC060000}"/>
    <cellStyle name="Heading 4 5" xfId="1741" xr:uid="{00000000-0005-0000-0000-0000AD060000}"/>
    <cellStyle name="Heading 4 6" xfId="1742" xr:uid="{00000000-0005-0000-0000-0000AE060000}"/>
    <cellStyle name="Heading 4 7" xfId="1743" xr:uid="{00000000-0005-0000-0000-0000AF060000}"/>
    <cellStyle name="Heading 4 8" xfId="1744" xr:uid="{00000000-0005-0000-0000-0000B0060000}"/>
    <cellStyle name="Heading 4 8 2" xfId="1745" xr:uid="{00000000-0005-0000-0000-0000B1060000}"/>
    <cellStyle name="Heading 4 8 3" xfId="1746" xr:uid="{00000000-0005-0000-0000-0000B2060000}"/>
    <cellStyle name="Heading 4 8 4" xfId="1747" xr:uid="{00000000-0005-0000-0000-0000B3060000}"/>
    <cellStyle name="Heading 4 8 5" xfId="1748" xr:uid="{00000000-0005-0000-0000-0000B4060000}"/>
    <cellStyle name="Heading 4 8 6" xfId="1749" xr:uid="{00000000-0005-0000-0000-0000B5060000}"/>
    <cellStyle name="Heading 4 9" xfId="1750" xr:uid="{00000000-0005-0000-0000-0000B6060000}"/>
    <cellStyle name="Heading 4 9 2" xfId="1751" xr:uid="{00000000-0005-0000-0000-0000B7060000}"/>
    <cellStyle name="Heading 4 9 4" xfId="1752" xr:uid="{00000000-0005-0000-0000-0000B8060000}"/>
    <cellStyle name="Heading 4 9 6" xfId="1753" xr:uid="{00000000-0005-0000-0000-0000B9060000}"/>
    <cellStyle name="Hyperlink" xfId="2" builtinId="8"/>
    <cellStyle name="Hyperlink 2" xfId="5" xr:uid="{00000000-0005-0000-0000-0000BB060000}"/>
    <cellStyle name="Hyperlink 3" xfId="6" xr:uid="{00000000-0005-0000-0000-0000BC060000}"/>
    <cellStyle name="Hyperlink 3 2" xfId="26" xr:uid="{00000000-0005-0000-0000-0000BD060000}"/>
    <cellStyle name="Info" xfId="7" xr:uid="{00000000-0005-0000-0000-0000BE060000}"/>
    <cellStyle name="Input 10" xfId="1754" xr:uid="{00000000-0005-0000-0000-0000BF060000}"/>
    <cellStyle name="Input 10 2" xfId="1755" xr:uid="{00000000-0005-0000-0000-0000C0060000}"/>
    <cellStyle name="Input 10 3" xfId="1756" xr:uid="{00000000-0005-0000-0000-0000C1060000}"/>
    <cellStyle name="Input 10 4" xfId="1757" xr:uid="{00000000-0005-0000-0000-0000C2060000}"/>
    <cellStyle name="Input 10 5" xfId="1758" xr:uid="{00000000-0005-0000-0000-0000C3060000}"/>
    <cellStyle name="Input 10 6" xfId="1759" xr:uid="{00000000-0005-0000-0000-0000C4060000}"/>
    <cellStyle name="Input 11" xfId="1760" xr:uid="{00000000-0005-0000-0000-0000C5060000}"/>
    <cellStyle name="Input 11 2" xfId="1761" xr:uid="{00000000-0005-0000-0000-0000C6060000}"/>
    <cellStyle name="Input 11 3" xfId="1762" xr:uid="{00000000-0005-0000-0000-0000C7060000}"/>
    <cellStyle name="Input 11 4" xfId="1763" xr:uid="{00000000-0005-0000-0000-0000C8060000}"/>
    <cellStyle name="Input 11 5" xfId="1764" xr:uid="{00000000-0005-0000-0000-0000C9060000}"/>
    <cellStyle name="Input 11 6" xfId="1765" xr:uid="{00000000-0005-0000-0000-0000CA060000}"/>
    <cellStyle name="Input 12" xfId="1766" xr:uid="{00000000-0005-0000-0000-0000CB060000}"/>
    <cellStyle name="Input 12 2" xfId="1767" xr:uid="{00000000-0005-0000-0000-0000CC060000}"/>
    <cellStyle name="Input 12 3" xfId="1768" xr:uid="{00000000-0005-0000-0000-0000CD060000}"/>
    <cellStyle name="Input 12 4" xfId="1769" xr:uid="{00000000-0005-0000-0000-0000CE060000}"/>
    <cellStyle name="Input 12 6" xfId="1770" xr:uid="{00000000-0005-0000-0000-0000CF060000}"/>
    <cellStyle name="Input 13" xfId="1771" xr:uid="{00000000-0005-0000-0000-0000D0060000}"/>
    <cellStyle name="Input 13 2" xfId="1772" xr:uid="{00000000-0005-0000-0000-0000D1060000}"/>
    <cellStyle name="Input 13 4" xfId="1773" xr:uid="{00000000-0005-0000-0000-0000D2060000}"/>
    <cellStyle name="Input 13 6" xfId="1774" xr:uid="{00000000-0005-0000-0000-0000D3060000}"/>
    <cellStyle name="Input 14" xfId="1775" xr:uid="{00000000-0005-0000-0000-0000D4060000}"/>
    <cellStyle name="Input 14 2" xfId="1776" xr:uid="{00000000-0005-0000-0000-0000D5060000}"/>
    <cellStyle name="Input 15" xfId="1777" xr:uid="{00000000-0005-0000-0000-0000D6060000}"/>
    <cellStyle name="Input 15 2" xfId="1778" xr:uid="{00000000-0005-0000-0000-0000D7060000}"/>
    <cellStyle name="Input 2" xfId="8" xr:uid="{00000000-0005-0000-0000-0000D8060000}"/>
    <cellStyle name="Input 2 10" xfId="1779" xr:uid="{00000000-0005-0000-0000-0000D9060000}"/>
    <cellStyle name="Input 2 11" xfId="1780" xr:uid="{00000000-0005-0000-0000-0000DA060000}"/>
    <cellStyle name="Input 2 12" xfId="1781" xr:uid="{00000000-0005-0000-0000-0000DB060000}"/>
    <cellStyle name="Input 2 13" xfId="1782" xr:uid="{00000000-0005-0000-0000-0000DC060000}"/>
    <cellStyle name="Input 2 2" xfId="1783" xr:uid="{00000000-0005-0000-0000-0000DD060000}"/>
    <cellStyle name="Input 2 3" xfId="1784" xr:uid="{00000000-0005-0000-0000-0000DE060000}"/>
    <cellStyle name="Input 2 4" xfId="1785" xr:uid="{00000000-0005-0000-0000-0000DF060000}"/>
    <cellStyle name="Input 2 5" xfId="1786" xr:uid="{00000000-0005-0000-0000-0000E0060000}"/>
    <cellStyle name="Input 2 6" xfId="1787" xr:uid="{00000000-0005-0000-0000-0000E1060000}"/>
    <cellStyle name="Input 2 7" xfId="1788" xr:uid="{00000000-0005-0000-0000-0000E2060000}"/>
    <cellStyle name="Input 2 8" xfId="1789" xr:uid="{00000000-0005-0000-0000-0000E3060000}"/>
    <cellStyle name="Input 2 9" xfId="1790" xr:uid="{00000000-0005-0000-0000-0000E4060000}"/>
    <cellStyle name="Input 3" xfId="1791" xr:uid="{00000000-0005-0000-0000-0000E5060000}"/>
    <cellStyle name="Input 4" xfId="1792" xr:uid="{00000000-0005-0000-0000-0000E6060000}"/>
    <cellStyle name="Input 5" xfId="1793" xr:uid="{00000000-0005-0000-0000-0000E7060000}"/>
    <cellStyle name="Input 6" xfId="1794" xr:uid="{00000000-0005-0000-0000-0000E8060000}"/>
    <cellStyle name="Input 7" xfId="1795" xr:uid="{00000000-0005-0000-0000-0000E9060000}"/>
    <cellStyle name="Input 8" xfId="1796" xr:uid="{00000000-0005-0000-0000-0000EA060000}"/>
    <cellStyle name="Input 8 2" xfId="1797" xr:uid="{00000000-0005-0000-0000-0000EB060000}"/>
    <cellStyle name="Input 8 3" xfId="1798" xr:uid="{00000000-0005-0000-0000-0000EC060000}"/>
    <cellStyle name="Input 8 4" xfId="1799" xr:uid="{00000000-0005-0000-0000-0000ED060000}"/>
    <cellStyle name="Input 8 5" xfId="1800" xr:uid="{00000000-0005-0000-0000-0000EE060000}"/>
    <cellStyle name="Input 8 6" xfId="1801" xr:uid="{00000000-0005-0000-0000-0000EF060000}"/>
    <cellStyle name="Input 9" xfId="1802" xr:uid="{00000000-0005-0000-0000-0000F0060000}"/>
    <cellStyle name="Input 9 2" xfId="1803" xr:uid="{00000000-0005-0000-0000-0000F1060000}"/>
    <cellStyle name="Input 9 4" xfId="1804" xr:uid="{00000000-0005-0000-0000-0000F2060000}"/>
    <cellStyle name="Input 9 5" xfId="1805" xr:uid="{00000000-0005-0000-0000-0000F3060000}"/>
    <cellStyle name="Linked Cell 10" xfId="1806" xr:uid="{00000000-0005-0000-0000-0000F4060000}"/>
    <cellStyle name="Linked Cell 10 3" xfId="1807" xr:uid="{00000000-0005-0000-0000-0000F5060000}"/>
    <cellStyle name="Linked Cell 10 4" xfId="1808" xr:uid="{00000000-0005-0000-0000-0000F6060000}"/>
    <cellStyle name="Linked Cell 10 5" xfId="1809" xr:uid="{00000000-0005-0000-0000-0000F7060000}"/>
    <cellStyle name="Linked Cell 10 6" xfId="1810" xr:uid="{00000000-0005-0000-0000-0000F8060000}"/>
    <cellStyle name="Linked Cell 11" xfId="1811" xr:uid="{00000000-0005-0000-0000-0000F9060000}"/>
    <cellStyle name="Linked Cell 11 2" xfId="1812" xr:uid="{00000000-0005-0000-0000-0000FA060000}"/>
    <cellStyle name="Linked Cell 11 3" xfId="1813" xr:uid="{00000000-0005-0000-0000-0000FB060000}"/>
    <cellStyle name="Linked Cell 11 4" xfId="1814" xr:uid="{00000000-0005-0000-0000-0000FC060000}"/>
    <cellStyle name="Linked Cell 11 5" xfId="1815" xr:uid="{00000000-0005-0000-0000-0000FD060000}"/>
    <cellStyle name="Linked Cell 11 6" xfId="1816" xr:uid="{00000000-0005-0000-0000-0000FE060000}"/>
    <cellStyle name="Linked Cell 12" xfId="1817" xr:uid="{00000000-0005-0000-0000-0000FF060000}"/>
    <cellStyle name="Linked Cell 12 2" xfId="1818" xr:uid="{00000000-0005-0000-0000-000000070000}"/>
    <cellStyle name="Linked Cell 12 3" xfId="1819" xr:uid="{00000000-0005-0000-0000-000001070000}"/>
    <cellStyle name="Linked Cell 12 4" xfId="1820" xr:uid="{00000000-0005-0000-0000-000002070000}"/>
    <cellStyle name="Linked Cell 12 5" xfId="1821" xr:uid="{00000000-0005-0000-0000-000003070000}"/>
    <cellStyle name="Linked Cell 13" xfId="1822" xr:uid="{00000000-0005-0000-0000-000004070000}"/>
    <cellStyle name="Linked Cell 13 3" xfId="1823" xr:uid="{00000000-0005-0000-0000-000005070000}"/>
    <cellStyle name="Linked Cell 13 4" xfId="1824" xr:uid="{00000000-0005-0000-0000-000006070000}"/>
    <cellStyle name="Linked Cell 13 6" xfId="1825" xr:uid="{00000000-0005-0000-0000-000007070000}"/>
    <cellStyle name="Linked Cell 14" xfId="1826" xr:uid="{00000000-0005-0000-0000-000008070000}"/>
    <cellStyle name="Linked Cell 14 2" xfId="1827" xr:uid="{00000000-0005-0000-0000-000009070000}"/>
    <cellStyle name="Linked Cell 15" xfId="1828" xr:uid="{00000000-0005-0000-0000-00000A070000}"/>
    <cellStyle name="Linked Cell 15 2" xfId="1829" xr:uid="{00000000-0005-0000-0000-00000B070000}"/>
    <cellStyle name="Linked Cell 16" xfId="1830" xr:uid="{00000000-0005-0000-0000-00000C070000}"/>
    <cellStyle name="Linked Cell 17" xfId="1831" xr:uid="{00000000-0005-0000-0000-00000D070000}"/>
    <cellStyle name="Linked Cell 2" xfId="9" xr:uid="{00000000-0005-0000-0000-00000E070000}"/>
    <cellStyle name="Linked Cell 2 10" xfId="1832" xr:uid="{00000000-0005-0000-0000-00000F070000}"/>
    <cellStyle name="Linked Cell 2 11" xfId="1833" xr:uid="{00000000-0005-0000-0000-000010070000}"/>
    <cellStyle name="Linked Cell 2 12" xfId="1834" xr:uid="{00000000-0005-0000-0000-000011070000}"/>
    <cellStyle name="Linked Cell 2 13" xfId="1835" xr:uid="{00000000-0005-0000-0000-000012070000}"/>
    <cellStyle name="Linked Cell 2 2" xfId="1836" xr:uid="{00000000-0005-0000-0000-000013070000}"/>
    <cellStyle name="Linked Cell 2 3" xfId="1837" xr:uid="{00000000-0005-0000-0000-000014070000}"/>
    <cellStyle name="Linked Cell 2 4" xfId="1838" xr:uid="{00000000-0005-0000-0000-000015070000}"/>
    <cellStyle name="Linked Cell 2 5" xfId="1839" xr:uid="{00000000-0005-0000-0000-000016070000}"/>
    <cellStyle name="Linked Cell 2 6" xfId="1840" xr:uid="{00000000-0005-0000-0000-000017070000}"/>
    <cellStyle name="Linked Cell 2 7" xfId="1841" xr:uid="{00000000-0005-0000-0000-000018070000}"/>
    <cellStyle name="Linked Cell 2 8" xfId="1842" xr:uid="{00000000-0005-0000-0000-000019070000}"/>
    <cellStyle name="Linked Cell 2 9" xfId="1843" xr:uid="{00000000-0005-0000-0000-00001A070000}"/>
    <cellStyle name="Linked Cell 3" xfId="1844" xr:uid="{00000000-0005-0000-0000-00001B070000}"/>
    <cellStyle name="Linked Cell 4" xfId="1845" xr:uid="{00000000-0005-0000-0000-00001C070000}"/>
    <cellStyle name="Linked Cell 5" xfId="1846" xr:uid="{00000000-0005-0000-0000-00001D070000}"/>
    <cellStyle name="Linked Cell 6" xfId="1847" xr:uid="{00000000-0005-0000-0000-00001E070000}"/>
    <cellStyle name="Linked Cell 7" xfId="1848" xr:uid="{00000000-0005-0000-0000-00001F070000}"/>
    <cellStyle name="Linked Cell 8" xfId="1849" xr:uid="{00000000-0005-0000-0000-000020070000}"/>
    <cellStyle name="Linked Cell 8 2" xfId="1850" xr:uid="{00000000-0005-0000-0000-000021070000}"/>
    <cellStyle name="Linked Cell 8 3" xfId="1851" xr:uid="{00000000-0005-0000-0000-000022070000}"/>
    <cellStyle name="Linked Cell 8 4" xfId="1852" xr:uid="{00000000-0005-0000-0000-000023070000}"/>
    <cellStyle name="Linked Cell 8 5" xfId="1853" xr:uid="{00000000-0005-0000-0000-000024070000}"/>
    <cellStyle name="Linked Cell 8 6" xfId="1854" xr:uid="{00000000-0005-0000-0000-000025070000}"/>
    <cellStyle name="Linked Cell 9" xfId="1855" xr:uid="{00000000-0005-0000-0000-000026070000}"/>
    <cellStyle name="Linked Cell 9 2" xfId="1856" xr:uid="{00000000-0005-0000-0000-000027070000}"/>
    <cellStyle name="Linked Cell 9 3" xfId="1857" xr:uid="{00000000-0005-0000-0000-000028070000}"/>
    <cellStyle name="Linked Cell 9 4" xfId="1858" xr:uid="{00000000-0005-0000-0000-000029070000}"/>
    <cellStyle name="Linked Cell 9 5" xfId="1859" xr:uid="{00000000-0005-0000-0000-00002A070000}"/>
    <cellStyle name="Neutral 10" xfId="1860" xr:uid="{00000000-0005-0000-0000-00002B070000}"/>
    <cellStyle name="Neutral 10 3" xfId="1861" xr:uid="{00000000-0005-0000-0000-00002C070000}"/>
    <cellStyle name="Neutral 10 4" xfId="1862" xr:uid="{00000000-0005-0000-0000-00002D070000}"/>
    <cellStyle name="Neutral 10 6" xfId="1863" xr:uid="{00000000-0005-0000-0000-00002E070000}"/>
    <cellStyle name="Neutral 11" xfId="1864" xr:uid="{00000000-0005-0000-0000-00002F070000}"/>
    <cellStyle name="Neutral 11 2" xfId="1865" xr:uid="{00000000-0005-0000-0000-000030070000}"/>
    <cellStyle name="Neutral 11 3" xfId="1866" xr:uid="{00000000-0005-0000-0000-000031070000}"/>
    <cellStyle name="Neutral 11 4" xfId="1867" xr:uid="{00000000-0005-0000-0000-000032070000}"/>
    <cellStyle name="Neutral 11 5" xfId="1868" xr:uid="{00000000-0005-0000-0000-000033070000}"/>
    <cellStyle name="Neutral 11 6" xfId="1869" xr:uid="{00000000-0005-0000-0000-000034070000}"/>
    <cellStyle name="Neutral 12" xfId="1870" xr:uid="{00000000-0005-0000-0000-000035070000}"/>
    <cellStyle name="Neutral 12 2" xfId="1871" xr:uid="{00000000-0005-0000-0000-000036070000}"/>
    <cellStyle name="Neutral 12 3" xfId="1872" xr:uid="{00000000-0005-0000-0000-000037070000}"/>
    <cellStyle name="Neutral 12 4" xfId="1873" xr:uid="{00000000-0005-0000-0000-000038070000}"/>
    <cellStyle name="Neutral 12 5" xfId="1874" xr:uid="{00000000-0005-0000-0000-000039070000}"/>
    <cellStyle name="Neutral 12 6" xfId="1875" xr:uid="{00000000-0005-0000-0000-00003A070000}"/>
    <cellStyle name="Neutral 13" xfId="1876" xr:uid="{00000000-0005-0000-0000-00003B070000}"/>
    <cellStyle name="Neutral 13 2" xfId="1877" xr:uid="{00000000-0005-0000-0000-00003C070000}"/>
    <cellStyle name="Neutral 13 3" xfId="1878" xr:uid="{00000000-0005-0000-0000-00003D070000}"/>
    <cellStyle name="Neutral 13 5" xfId="1879" xr:uid="{00000000-0005-0000-0000-00003E070000}"/>
    <cellStyle name="Neutral 13 6" xfId="1880" xr:uid="{00000000-0005-0000-0000-00003F070000}"/>
    <cellStyle name="Neutral 14 2" xfId="1881" xr:uid="{00000000-0005-0000-0000-000040070000}"/>
    <cellStyle name="Neutral 15 2" xfId="1882" xr:uid="{00000000-0005-0000-0000-000041070000}"/>
    <cellStyle name="Neutral 16" xfId="1883" xr:uid="{00000000-0005-0000-0000-000042070000}"/>
    <cellStyle name="Neutral 2" xfId="1884" xr:uid="{00000000-0005-0000-0000-000043070000}"/>
    <cellStyle name="Neutral 2 10" xfId="1885" xr:uid="{00000000-0005-0000-0000-000044070000}"/>
    <cellStyle name="Neutral 2 11" xfId="1886" xr:uid="{00000000-0005-0000-0000-000045070000}"/>
    <cellStyle name="Neutral 2 12" xfId="1887" xr:uid="{00000000-0005-0000-0000-000046070000}"/>
    <cellStyle name="Neutral 2 13" xfId="1888" xr:uid="{00000000-0005-0000-0000-000047070000}"/>
    <cellStyle name="Neutral 2 2" xfId="1889" xr:uid="{00000000-0005-0000-0000-000048070000}"/>
    <cellStyle name="Neutral 2 3" xfId="1890" xr:uid="{00000000-0005-0000-0000-000049070000}"/>
    <cellStyle name="Neutral 2 4" xfId="1891" xr:uid="{00000000-0005-0000-0000-00004A070000}"/>
    <cellStyle name="Neutral 2 5" xfId="1892" xr:uid="{00000000-0005-0000-0000-00004B070000}"/>
    <cellStyle name="Neutral 2 6" xfId="1893" xr:uid="{00000000-0005-0000-0000-00004C070000}"/>
    <cellStyle name="Neutral 2 7" xfId="1894" xr:uid="{00000000-0005-0000-0000-00004D070000}"/>
    <cellStyle name="Neutral 2 8" xfId="1895" xr:uid="{00000000-0005-0000-0000-00004E070000}"/>
    <cellStyle name="Neutral 3" xfId="1896" xr:uid="{00000000-0005-0000-0000-00004F070000}"/>
    <cellStyle name="Neutral 4" xfId="1897" xr:uid="{00000000-0005-0000-0000-000050070000}"/>
    <cellStyle name="Neutral 5" xfId="1898" xr:uid="{00000000-0005-0000-0000-000051070000}"/>
    <cellStyle name="Neutral 6" xfId="1899" xr:uid="{00000000-0005-0000-0000-000052070000}"/>
    <cellStyle name="Neutral 7" xfId="1900" xr:uid="{00000000-0005-0000-0000-000053070000}"/>
    <cellStyle name="Neutral 8" xfId="1901" xr:uid="{00000000-0005-0000-0000-000054070000}"/>
    <cellStyle name="Neutral 8 2" xfId="1902" xr:uid="{00000000-0005-0000-0000-000055070000}"/>
    <cellStyle name="Neutral 8 3" xfId="1903" xr:uid="{00000000-0005-0000-0000-000056070000}"/>
    <cellStyle name="Neutral 8 4" xfId="1904" xr:uid="{00000000-0005-0000-0000-000057070000}"/>
    <cellStyle name="Neutral 8 5" xfId="1905" xr:uid="{00000000-0005-0000-0000-000058070000}"/>
    <cellStyle name="Neutral 8 6" xfId="1906" xr:uid="{00000000-0005-0000-0000-000059070000}"/>
    <cellStyle name="Neutral 9" xfId="1907" xr:uid="{00000000-0005-0000-0000-00005A070000}"/>
    <cellStyle name="Neutral 9 2" xfId="1908" xr:uid="{00000000-0005-0000-0000-00005B070000}"/>
    <cellStyle name="Neutral 9 3" xfId="1909" xr:uid="{00000000-0005-0000-0000-00005C070000}"/>
    <cellStyle name="Neutral 9 4" xfId="1910" xr:uid="{00000000-0005-0000-0000-00005D070000}"/>
    <cellStyle name="Neutral 9 5" xfId="1911" xr:uid="{00000000-0005-0000-0000-00005E070000}"/>
    <cellStyle name="Normal" xfId="0" builtinId="0"/>
    <cellStyle name="Normal 10" xfId="21" xr:uid="{00000000-0005-0000-0000-000060070000}"/>
    <cellStyle name="Normal 10 2" xfId="31" xr:uid="{00000000-0005-0000-0000-000061070000}"/>
    <cellStyle name="Normal 10 3" xfId="1912" xr:uid="{00000000-0005-0000-0000-000062070000}"/>
    <cellStyle name="Normal 10 5" xfId="1913" xr:uid="{00000000-0005-0000-0000-000063070000}"/>
    <cellStyle name="Normal 11" xfId="22" xr:uid="{00000000-0005-0000-0000-000064070000}"/>
    <cellStyle name="Normal 11 2" xfId="32" xr:uid="{00000000-0005-0000-0000-000065070000}"/>
    <cellStyle name="Normal 11 3" xfId="1914" xr:uid="{00000000-0005-0000-0000-000066070000}"/>
    <cellStyle name="Normal 11 4" xfId="1915" xr:uid="{00000000-0005-0000-0000-000067070000}"/>
    <cellStyle name="Normal 11 5" xfId="1916" xr:uid="{00000000-0005-0000-0000-000068070000}"/>
    <cellStyle name="Normal 12" xfId="24" xr:uid="{00000000-0005-0000-0000-000069070000}"/>
    <cellStyle name="Normal 12 2" xfId="33" xr:uid="{00000000-0005-0000-0000-00006A070000}"/>
    <cellStyle name="Normal 12 2 2" xfId="1918" xr:uid="{00000000-0005-0000-0000-00006B070000}"/>
    <cellStyle name="Normal 12 3" xfId="1919" xr:uid="{00000000-0005-0000-0000-00006C070000}"/>
    <cellStyle name="Normal 12 4" xfId="1920" xr:uid="{00000000-0005-0000-0000-00006D070000}"/>
    <cellStyle name="Normal 12 5" xfId="1921" xr:uid="{00000000-0005-0000-0000-00006E070000}"/>
    <cellStyle name="Normal 12 6" xfId="1917" xr:uid="{00000000-0005-0000-0000-00006F070000}"/>
    <cellStyle name="Normal 13" xfId="1922" xr:uid="{00000000-0005-0000-0000-000070070000}"/>
    <cellStyle name="Normal 13 2" xfId="1923" xr:uid="{00000000-0005-0000-0000-000071070000}"/>
    <cellStyle name="Normal 13 3" xfId="1924" xr:uid="{00000000-0005-0000-0000-000072070000}"/>
    <cellStyle name="Normal 13 4" xfId="1925" xr:uid="{00000000-0005-0000-0000-000073070000}"/>
    <cellStyle name="Normal 13 5" xfId="1926" xr:uid="{00000000-0005-0000-0000-000074070000}"/>
    <cellStyle name="Normal 14" xfId="1927" xr:uid="{00000000-0005-0000-0000-000075070000}"/>
    <cellStyle name="Normal 14 3" xfId="1928" xr:uid="{00000000-0005-0000-0000-000076070000}"/>
    <cellStyle name="Normal 14 4" xfId="1929" xr:uid="{00000000-0005-0000-0000-000077070000}"/>
    <cellStyle name="Normal 15" xfId="1930" xr:uid="{00000000-0005-0000-0000-000078070000}"/>
    <cellStyle name="Normal 15 2" xfId="1931" xr:uid="{00000000-0005-0000-0000-000079070000}"/>
    <cellStyle name="Normal 15 4" xfId="1932" xr:uid="{00000000-0005-0000-0000-00007A070000}"/>
    <cellStyle name="Normal 15 5" xfId="1933" xr:uid="{00000000-0005-0000-0000-00007B070000}"/>
    <cellStyle name="Normal 16" xfId="1934" xr:uid="{00000000-0005-0000-0000-00007C070000}"/>
    <cellStyle name="Normal 16 2" xfId="1935" xr:uid="{00000000-0005-0000-0000-00007D070000}"/>
    <cellStyle name="Normal 16 3" xfId="1936" xr:uid="{00000000-0005-0000-0000-00007E070000}"/>
    <cellStyle name="Normal 16 4" xfId="1937" xr:uid="{00000000-0005-0000-0000-00007F070000}"/>
    <cellStyle name="Normal 16 5" xfId="1938" xr:uid="{00000000-0005-0000-0000-000080070000}"/>
    <cellStyle name="Normal 17" xfId="1939" xr:uid="{00000000-0005-0000-0000-000081070000}"/>
    <cellStyle name="Normal 17 2" xfId="1940" xr:uid="{00000000-0005-0000-0000-000082070000}"/>
    <cellStyle name="Normal 17 3" xfId="1941" xr:uid="{00000000-0005-0000-0000-000083070000}"/>
    <cellStyle name="Normal 17 4" xfId="1942" xr:uid="{00000000-0005-0000-0000-000084070000}"/>
    <cellStyle name="Normal 17 5" xfId="1943" xr:uid="{00000000-0005-0000-0000-000085070000}"/>
    <cellStyle name="Normal 18" xfId="1944" xr:uid="{00000000-0005-0000-0000-000086070000}"/>
    <cellStyle name="Normal 18 2" xfId="1945" xr:uid="{00000000-0005-0000-0000-000087070000}"/>
    <cellStyle name="Normal 18 4" xfId="1946" xr:uid="{00000000-0005-0000-0000-000088070000}"/>
    <cellStyle name="Normal 18 5" xfId="1947" xr:uid="{00000000-0005-0000-0000-000089070000}"/>
    <cellStyle name="Normal 19" xfId="1948" xr:uid="{00000000-0005-0000-0000-00008A070000}"/>
    <cellStyle name="Normal 19 2" xfId="1949" xr:uid="{00000000-0005-0000-0000-00008B070000}"/>
    <cellStyle name="Normal 19 3" xfId="1950" xr:uid="{00000000-0005-0000-0000-00008C070000}"/>
    <cellStyle name="Normal 19 5" xfId="1951" xr:uid="{00000000-0005-0000-0000-00008D070000}"/>
    <cellStyle name="Normal 2" xfId="1" xr:uid="{00000000-0005-0000-0000-00008E070000}"/>
    <cellStyle name="Normal 2 10" xfId="1952" xr:uid="{00000000-0005-0000-0000-00008F070000}"/>
    <cellStyle name="Normal 2 11" xfId="1953" xr:uid="{00000000-0005-0000-0000-000090070000}"/>
    <cellStyle name="Normal 2 12" xfId="1954" xr:uid="{00000000-0005-0000-0000-000091070000}"/>
    <cellStyle name="Normal 2 13" xfId="1955" xr:uid="{00000000-0005-0000-0000-000092070000}"/>
    <cellStyle name="Normal 2 14" xfId="1956" xr:uid="{00000000-0005-0000-0000-000093070000}"/>
    <cellStyle name="Normal 2 15" xfId="1957" xr:uid="{00000000-0005-0000-0000-000094070000}"/>
    <cellStyle name="Normal 2 16" xfId="1958" xr:uid="{00000000-0005-0000-0000-000095070000}"/>
    <cellStyle name="Normal 2 17" xfId="1959" xr:uid="{00000000-0005-0000-0000-000096070000}"/>
    <cellStyle name="Normal 2 18" xfId="1960" xr:uid="{00000000-0005-0000-0000-000097070000}"/>
    <cellStyle name="Normal 2 2" xfId="23" xr:uid="{00000000-0005-0000-0000-000098070000}"/>
    <cellStyle name="Normal 2 2 2" xfId="15" xr:uid="{00000000-0005-0000-0000-000099070000}"/>
    <cellStyle name="Normal 2 2_SoftPLC tiles" xfId="12" xr:uid="{00000000-0005-0000-0000-00009A070000}"/>
    <cellStyle name="Normal 2 3" xfId="1961" xr:uid="{00000000-0005-0000-0000-00009B070000}"/>
    <cellStyle name="Normal 2 4" xfId="1962" xr:uid="{00000000-0005-0000-0000-00009C070000}"/>
    <cellStyle name="Normal 2 5" xfId="1963" xr:uid="{00000000-0005-0000-0000-00009D070000}"/>
    <cellStyle name="Normal 2 6" xfId="1964" xr:uid="{00000000-0005-0000-0000-00009E070000}"/>
    <cellStyle name="Normal 2 7" xfId="1965" xr:uid="{00000000-0005-0000-0000-00009F070000}"/>
    <cellStyle name="Normal 2 8" xfId="1966" xr:uid="{00000000-0005-0000-0000-0000A0070000}"/>
    <cellStyle name="Normal 2 9" xfId="1967" xr:uid="{00000000-0005-0000-0000-0000A1070000}"/>
    <cellStyle name="Normal 20" xfId="1968" xr:uid="{00000000-0005-0000-0000-0000A2070000}"/>
    <cellStyle name="Normal 20 2" xfId="1969" xr:uid="{00000000-0005-0000-0000-0000A3070000}"/>
    <cellStyle name="Normal 20 3" xfId="1970" xr:uid="{00000000-0005-0000-0000-0000A4070000}"/>
    <cellStyle name="Normal 20 5" xfId="1971" xr:uid="{00000000-0005-0000-0000-0000A5070000}"/>
    <cellStyle name="Normal 21" xfId="1972" xr:uid="{00000000-0005-0000-0000-0000A6070000}"/>
    <cellStyle name="Normal 21 2" xfId="1973" xr:uid="{00000000-0005-0000-0000-0000A7070000}"/>
    <cellStyle name="Normal 21 3" xfId="1974" xr:uid="{00000000-0005-0000-0000-0000A8070000}"/>
    <cellStyle name="Normal 21 4" xfId="1975" xr:uid="{00000000-0005-0000-0000-0000A9070000}"/>
    <cellStyle name="Normal 21 5" xfId="1976" xr:uid="{00000000-0005-0000-0000-0000AA070000}"/>
    <cellStyle name="Normal 22" xfId="1977" xr:uid="{00000000-0005-0000-0000-0000AB070000}"/>
    <cellStyle name="Normal 22 2" xfId="1978" xr:uid="{00000000-0005-0000-0000-0000AC070000}"/>
    <cellStyle name="Normal 22 4" xfId="1979" xr:uid="{00000000-0005-0000-0000-0000AD070000}"/>
    <cellStyle name="Normal 22 5" xfId="1980" xr:uid="{00000000-0005-0000-0000-0000AE070000}"/>
    <cellStyle name="Normal 23" xfId="1981" xr:uid="{00000000-0005-0000-0000-0000AF070000}"/>
    <cellStyle name="Normal 23 3" xfId="1982" xr:uid="{00000000-0005-0000-0000-0000B0070000}"/>
    <cellStyle name="Normal 23 5" xfId="1983" xr:uid="{00000000-0005-0000-0000-0000B1070000}"/>
    <cellStyle name="Normal 24" xfId="1984" xr:uid="{00000000-0005-0000-0000-0000B2070000}"/>
    <cellStyle name="Normal 24 2" xfId="1985" xr:uid="{00000000-0005-0000-0000-0000B3070000}"/>
    <cellStyle name="Normal 24 3" xfId="1986" xr:uid="{00000000-0005-0000-0000-0000B4070000}"/>
    <cellStyle name="Normal 24 4" xfId="1987" xr:uid="{00000000-0005-0000-0000-0000B5070000}"/>
    <cellStyle name="Normal 24 5" xfId="1988" xr:uid="{00000000-0005-0000-0000-0000B6070000}"/>
    <cellStyle name="Normal 25" xfId="1989" xr:uid="{00000000-0005-0000-0000-0000B7070000}"/>
    <cellStyle name="Normal 25 2" xfId="1990" xr:uid="{00000000-0005-0000-0000-0000B8070000}"/>
    <cellStyle name="Normal 25 3" xfId="1991" xr:uid="{00000000-0005-0000-0000-0000B9070000}"/>
    <cellStyle name="Normal 25 4" xfId="1992" xr:uid="{00000000-0005-0000-0000-0000BA070000}"/>
    <cellStyle name="Normal 25 5" xfId="1993" xr:uid="{00000000-0005-0000-0000-0000BB070000}"/>
    <cellStyle name="Normal 26" xfId="1994" xr:uid="{00000000-0005-0000-0000-0000BC070000}"/>
    <cellStyle name="Normal 26 2" xfId="1995" xr:uid="{00000000-0005-0000-0000-0000BD070000}"/>
    <cellStyle name="Normal 26 3" xfId="1996" xr:uid="{00000000-0005-0000-0000-0000BE070000}"/>
    <cellStyle name="Normal 26 4" xfId="1997" xr:uid="{00000000-0005-0000-0000-0000BF070000}"/>
    <cellStyle name="Normal 26 5" xfId="1998" xr:uid="{00000000-0005-0000-0000-0000C0070000}"/>
    <cellStyle name="Normal 27" xfId="1999" xr:uid="{00000000-0005-0000-0000-0000C1070000}"/>
    <cellStyle name="Normal 27 2" xfId="2000" xr:uid="{00000000-0005-0000-0000-0000C2070000}"/>
    <cellStyle name="Normal 27 3" xfId="2001" xr:uid="{00000000-0005-0000-0000-0000C3070000}"/>
    <cellStyle name="Normal 27 5" xfId="2002" xr:uid="{00000000-0005-0000-0000-0000C4070000}"/>
    <cellStyle name="Normal 28" xfId="2003" xr:uid="{00000000-0005-0000-0000-0000C5070000}"/>
    <cellStyle name="Normal 28 3" xfId="2004" xr:uid="{00000000-0005-0000-0000-0000C6070000}"/>
    <cellStyle name="Normal 28 4" xfId="2005" xr:uid="{00000000-0005-0000-0000-0000C7070000}"/>
    <cellStyle name="Normal 28 5" xfId="2006" xr:uid="{00000000-0005-0000-0000-0000C8070000}"/>
    <cellStyle name="Normal 29" xfId="2007" xr:uid="{00000000-0005-0000-0000-0000C9070000}"/>
    <cellStyle name="Normal 29 2" xfId="2008" xr:uid="{00000000-0005-0000-0000-0000CA070000}"/>
    <cellStyle name="Normal 29 3" xfId="2009" xr:uid="{00000000-0005-0000-0000-0000CB070000}"/>
    <cellStyle name="Normal 29 4" xfId="2010" xr:uid="{00000000-0005-0000-0000-0000CC070000}"/>
    <cellStyle name="Normal 29 5" xfId="2011" xr:uid="{00000000-0005-0000-0000-0000CD070000}"/>
    <cellStyle name="Normal 3" xfId="13" xr:uid="{00000000-0005-0000-0000-0000CE070000}"/>
    <cellStyle name="Normal 3 2" xfId="10" xr:uid="{00000000-0005-0000-0000-0000CF070000}"/>
    <cellStyle name="Normal 3 2 2" xfId="2012" xr:uid="{00000000-0005-0000-0000-0000D0070000}"/>
    <cellStyle name="Normal 3 2 3" xfId="2013" xr:uid="{00000000-0005-0000-0000-0000D1070000}"/>
    <cellStyle name="Normal 3 3" xfId="25" xr:uid="{00000000-0005-0000-0000-0000D2070000}"/>
    <cellStyle name="Normal 3 3 2" xfId="34" xr:uid="{00000000-0005-0000-0000-0000D3070000}"/>
    <cellStyle name="Normal 3 3 3" xfId="2014" xr:uid="{00000000-0005-0000-0000-0000D4070000}"/>
    <cellStyle name="Normal 3 4" xfId="2015" xr:uid="{00000000-0005-0000-0000-0000D5070000}"/>
    <cellStyle name="Normal 3 5" xfId="2016" xr:uid="{00000000-0005-0000-0000-0000D6070000}"/>
    <cellStyle name="Normal 3 6" xfId="2017" xr:uid="{00000000-0005-0000-0000-0000D7070000}"/>
    <cellStyle name="Normal 30" xfId="2018" xr:uid="{00000000-0005-0000-0000-0000D8070000}"/>
    <cellStyle name="Normal 31" xfId="2019" xr:uid="{00000000-0005-0000-0000-0000D9070000}"/>
    <cellStyle name="Normal 32" xfId="2020" xr:uid="{00000000-0005-0000-0000-0000DA070000}"/>
    <cellStyle name="Normal 33" xfId="2021" xr:uid="{00000000-0005-0000-0000-0000DB070000}"/>
    <cellStyle name="Normal 34" xfId="2022" xr:uid="{00000000-0005-0000-0000-0000DC070000}"/>
    <cellStyle name="Normal 35" xfId="2023" xr:uid="{00000000-0005-0000-0000-0000DD070000}"/>
    <cellStyle name="Normal 36" xfId="2024" xr:uid="{00000000-0005-0000-0000-0000DE070000}"/>
    <cellStyle name="Normal 37" xfId="2025" xr:uid="{00000000-0005-0000-0000-0000DF070000}"/>
    <cellStyle name="Normal 38" xfId="2026" xr:uid="{00000000-0005-0000-0000-0000E0070000}"/>
    <cellStyle name="Normal 39" xfId="2027" xr:uid="{00000000-0005-0000-0000-0000E1070000}"/>
    <cellStyle name="Normal 39 2" xfId="2028" xr:uid="{00000000-0005-0000-0000-0000E2070000}"/>
    <cellStyle name="Normal 39 3" xfId="2029" xr:uid="{00000000-0005-0000-0000-0000E3070000}"/>
    <cellStyle name="Normal 39 4" xfId="2030" xr:uid="{00000000-0005-0000-0000-0000E4070000}"/>
    <cellStyle name="Normal 39 5" xfId="2031" xr:uid="{00000000-0005-0000-0000-0000E5070000}"/>
    <cellStyle name="Normal 4" xfId="14" xr:uid="{00000000-0005-0000-0000-0000E6070000}"/>
    <cellStyle name="Normal 4 2" xfId="2032" xr:uid="{00000000-0005-0000-0000-0000E7070000}"/>
    <cellStyle name="Normal 4 3" xfId="2033" xr:uid="{00000000-0005-0000-0000-0000E8070000}"/>
    <cellStyle name="Normal 4 4" xfId="2034" xr:uid="{00000000-0005-0000-0000-0000E9070000}"/>
    <cellStyle name="Normal 4 5" xfId="2035" xr:uid="{00000000-0005-0000-0000-0000EA070000}"/>
    <cellStyle name="Normal 4 6" xfId="2036" xr:uid="{00000000-0005-0000-0000-0000EB070000}"/>
    <cellStyle name="Normal 40" xfId="2037" xr:uid="{00000000-0005-0000-0000-0000EC070000}"/>
    <cellStyle name="Normal 41" xfId="2038" xr:uid="{00000000-0005-0000-0000-0000ED070000}"/>
    <cellStyle name="Normal 42" xfId="2039" xr:uid="{00000000-0005-0000-0000-0000EE070000}"/>
    <cellStyle name="Normal 43" xfId="2040" xr:uid="{00000000-0005-0000-0000-0000EF070000}"/>
    <cellStyle name="Normal 44" xfId="2041" xr:uid="{00000000-0005-0000-0000-0000F0070000}"/>
    <cellStyle name="Normal 45" xfId="2042" xr:uid="{00000000-0005-0000-0000-0000F1070000}"/>
    <cellStyle name="Normal 46" xfId="2043" xr:uid="{00000000-0005-0000-0000-0000F2070000}"/>
    <cellStyle name="Normal 46 2" xfId="2044" xr:uid="{00000000-0005-0000-0000-0000F3070000}"/>
    <cellStyle name="Normal 46 4" xfId="2045" xr:uid="{00000000-0005-0000-0000-0000F4070000}"/>
    <cellStyle name="Normal 47" xfId="2046" xr:uid="{00000000-0005-0000-0000-0000F5070000}"/>
    <cellStyle name="Normal 47 2" xfId="2047" xr:uid="{00000000-0005-0000-0000-0000F6070000}"/>
    <cellStyle name="Normal 47 4" xfId="2048" xr:uid="{00000000-0005-0000-0000-0000F7070000}"/>
    <cellStyle name="Normal 47 5" xfId="2049" xr:uid="{00000000-0005-0000-0000-0000F8070000}"/>
    <cellStyle name="Normal 48" xfId="2050" xr:uid="{00000000-0005-0000-0000-0000F9070000}"/>
    <cellStyle name="Normal 49" xfId="2051" xr:uid="{00000000-0005-0000-0000-0000FA070000}"/>
    <cellStyle name="Normal 5" xfId="11" xr:uid="{00000000-0005-0000-0000-0000FB070000}"/>
    <cellStyle name="Normal 5 2" xfId="2052" xr:uid="{00000000-0005-0000-0000-0000FC070000}"/>
    <cellStyle name="Normal 5 3" xfId="2053" xr:uid="{00000000-0005-0000-0000-0000FD070000}"/>
    <cellStyle name="Normal 5 4" xfId="2054" xr:uid="{00000000-0005-0000-0000-0000FE070000}"/>
    <cellStyle name="Normal 5 5" xfId="2055" xr:uid="{00000000-0005-0000-0000-0000FF070000}"/>
    <cellStyle name="Normal 50" xfId="2056" xr:uid="{00000000-0005-0000-0000-000000080000}"/>
    <cellStyle name="Normal 51" xfId="2057" xr:uid="{00000000-0005-0000-0000-000001080000}"/>
    <cellStyle name="Normal 52" xfId="2058" xr:uid="{00000000-0005-0000-0000-000002080000}"/>
    <cellStyle name="Normal 53" xfId="2059" xr:uid="{00000000-0005-0000-0000-000003080000}"/>
    <cellStyle name="Normal 54" xfId="2060" xr:uid="{00000000-0005-0000-0000-000004080000}"/>
    <cellStyle name="Normal 55" xfId="2061" xr:uid="{00000000-0005-0000-0000-000005080000}"/>
    <cellStyle name="Normal 56" xfId="2062" xr:uid="{00000000-0005-0000-0000-000006080000}"/>
    <cellStyle name="Normal 57" xfId="2063" xr:uid="{00000000-0005-0000-0000-000007080000}"/>
    <cellStyle name="Normal 58" xfId="2064" xr:uid="{00000000-0005-0000-0000-000008080000}"/>
    <cellStyle name="Normal 59" xfId="2065" xr:uid="{00000000-0005-0000-0000-000009080000}"/>
    <cellStyle name="Normal 6" xfId="16" xr:uid="{00000000-0005-0000-0000-00000A080000}"/>
    <cellStyle name="Normal 6 2" xfId="27" xr:uid="{00000000-0005-0000-0000-00000B080000}"/>
    <cellStyle name="Normal 6 3" xfId="2066" xr:uid="{00000000-0005-0000-0000-00000C080000}"/>
    <cellStyle name="Normal 6 4" xfId="2067" xr:uid="{00000000-0005-0000-0000-00000D080000}"/>
    <cellStyle name="Normal 6 5" xfId="2068" xr:uid="{00000000-0005-0000-0000-00000E080000}"/>
    <cellStyle name="Normal 60" xfId="2069" xr:uid="{00000000-0005-0000-0000-00000F080000}"/>
    <cellStyle name="Normal 60 2" xfId="2070" xr:uid="{00000000-0005-0000-0000-000010080000}"/>
    <cellStyle name="Normal 60 3" xfId="2071" xr:uid="{00000000-0005-0000-0000-000011080000}"/>
    <cellStyle name="Normal 60 4" xfId="2072" xr:uid="{00000000-0005-0000-0000-000012080000}"/>
    <cellStyle name="Normal 60 5" xfId="2073" xr:uid="{00000000-0005-0000-0000-000013080000}"/>
    <cellStyle name="Normal 61" xfId="2074" xr:uid="{00000000-0005-0000-0000-000014080000}"/>
    <cellStyle name="Normal 61 2" xfId="2075" xr:uid="{00000000-0005-0000-0000-000015080000}"/>
    <cellStyle name="Normal 61 3" xfId="2076" xr:uid="{00000000-0005-0000-0000-000016080000}"/>
    <cellStyle name="Normal 61 5" xfId="2077" xr:uid="{00000000-0005-0000-0000-000017080000}"/>
    <cellStyle name="Normal 62" xfId="2078" xr:uid="{00000000-0005-0000-0000-000018080000}"/>
    <cellStyle name="Normal 62 3" xfId="2079" xr:uid="{00000000-0005-0000-0000-000019080000}"/>
    <cellStyle name="Normal 63" xfId="2080" xr:uid="{00000000-0005-0000-0000-00001A080000}"/>
    <cellStyle name="Normal 63 2" xfId="2081" xr:uid="{00000000-0005-0000-0000-00001B080000}"/>
    <cellStyle name="Normal 63 3" xfId="2082" xr:uid="{00000000-0005-0000-0000-00001C080000}"/>
    <cellStyle name="Normal 64" xfId="2083" xr:uid="{00000000-0005-0000-0000-00001D080000}"/>
    <cellStyle name="Normal 64 2" xfId="2084" xr:uid="{00000000-0005-0000-0000-00001E080000}"/>
    <cellStyle name="Normal 64 3" xfId="2085" xr:uid="{00000000-0005-0000-0000-00001F080000}"/>
    <cellStyle name="Normal 65" xfId="2086" xr:uid="{00000000-0005-0000-0000-000020080000}"/>
    <cellStyle name="Normal 66" xfId="2087" xr:uid="{00000000-0005-0000-0000-000021080000}"/>
    <cellStyle name="Normal 66 2" xfId="2088" xr:uid="{00000000-0005-0000-0000-000022080000}"/>
    <cellStyle name="Normal 66 3" xfId="2089" xr:uid="{00000000-0005-0000-0000-000023080000}"/>
    <cellStyle name="Normal 66 4" xfId="2090" xr:uid="{00000000-0005-0000-0000-000024080000}"/>
    <cellStyle name="Normal 66 5" xfId="2091" xr:uid="{00000000-0005-0000-0000-000025080000}"/>
    <cellStyle name="Normal 66 6" xfId="2092" xr:uid="{00000000-0005-0000-0000-000026080000}"/>
    <cellStyle name="Normal 67" xfId="2093" xr:uid="{00000000-0005-0000-0000-000027080000}"/>
    <cellStyle name="Normal 67 2" xfId="2094" xr:uid="{00000000-0005-0000-0000-000028080000}"/>
    <cellStyle name="Normal 67 4" xfId="2095" xr:uid="{00000000-0005-0000-0000-000029080000}"/>
    <cellStyle name="Normal 67 5" xfId="2096" xr:uid="{00000000-0005-0000-0000-00002A080000}"/>
    <cellStyle name="Normal 68 2" xfId="2097" xr:uid="{00000000-0005-0000-0000-00002B080000}"/>
    <cellStyle name="Normal 7" xfId="18" xr:uid="{00000000-0005-0000-0000-00002C080000}"/>
    <cellStyle name="Normal 7 2" xfId="28" xr:uid="{00000000-0005-0000-0000-00002D080000}"/>
    <cellStyle name="Normal 7 3" xfId="2098" xr:uid="{00000000-0005-0000-0000-00002E080000}"/>
    <cellStyle name="Normal 7 4" xfId="2099" xr:uid="{00000000-0005-0000-0000-00002F080000}"/>
    <cellStyle name="Normal 7 5" xfId="2100" xr:uid="{00000000-0005-0000-0000-000030080000}"/>
    <cellStyle name="Normal 70" xfId="2101" xr:uid="{00000000-0005-0000-0000-000031080000}"/>
    <cellStyle name="Normal 70 2" xfId="2102" xr:uid="{00000000-0005-0000-0000-000032080000}"/>
    <cellStyle name="Normal 70 3" xfId="2103" xr:uid="{00000000-0005-0000-0000-000033080000}"/>
    <cellStyle name="Normal 70 4" xfId="2104" xr:uid="{00000000-0005-0000-0000-000034080000}"/>
    <cellStyle name="Normal 70 5" xfId="2105" xr:uid="{00000000-0005-0000-0000-000035080000}"/>
    <cellStyle name="Normal 70 6" xfId="2106" xr:uid="{00000000-0005-0000-0000-000036080000}"/>
    <cellStyle name="Normal 8" xfId="20" xr:uid="{00000000-0005-0000-0000-000037080000}"/>
    <cellStyle name="Normal 8 2" xfId="30" xr:uid="{00000000-0005-0000-0000-000038080000}"/>
    <cellStyle name="Normal 8 3" xfId="2107" xr:uid="{00000000-0005-0000-0000-000039080000}"/>
    <cellStyle name="Normal 8 4" xfId="2108" xr:uid="{00000000-0005-0000-0000-00003A080000}"/>
    <cellStyle name="Normal 8 5" xfId="2109" xr:uid="{00000000-0005-0000-0000-00003B080000}"/>
    <cellStyle name="Normal 9" xfId="19" xr:uid="{00000000-0005-0000-0000-00003C080000}"/>
    <cellStyle name="Normal 9 2" xfId="29" xr:uid="{00000000-0005-0000-0000-00003D080000}"/>
    <cellStyle name="Normal 9 4" xfId="2110" xr:uid="{00000000-0005-0000-0000-00003E080000}"/>
    <cellStyle name="Note 10" xfId="2111" xr:uid="{00000000-0005-0000-0000-00003F080000}"/>
    <cellStyle name="Note 10 3" xfId="2112" xr:uid="{00000000-0005-0000-0000-000040080000}"/>
    <cellStyle name="Note 10 4" xfId="2113" xr:uid="{00000000-0005-0000-0000-000041080000}"/>
    <cellStyle name="Note 10 5" xfId="2114" xr:uid="{00000000-0005-0000-0000-000042080000}"/>
    <cellStyle name="Note 11" xfId="2115" xr:uid="{00000000-0005-0000-0000-000043080000}"/>
    <cellStyle name="Note 11 3" xfId="2116" xr:uid="{00000000-0005-0000-0000-000044080000}"/>
    <cellStyle name="Note 11 4" xfId="2117" xr:uid="{00000000-0005-0000-0000-000045080000}"/>
    <cellStyle name="Note 11 5" xfId="2118" xr:uid="{00000000-0005-0000-0000-000046080000}"/>
    <cellStyle name="Note 11 6" xfId="2119" xr:uid="{00000000-0005-0000-0000-000047080000}"/>
    <cellStyle name="Note 12" xfId="2120" xr:uid="{00000000-0005-0000-0000-000048080000}"/>
    <cellStyle name="Note 12 2" xfId="2121" xr:uid="{00000000-0005-0000-0000-000049080000}"/>
    <cellStyle name="Note 12 3" xfId="2122" xr:uid="{00000000-0005-0000-0000-00004A080000}"/>
    <cellStyle name="Note 12 4" xfId="2123" xr:uid="{00000000-0005-0000-0000-00004B080000}"/>
    <cellStyle name="Note 12 5" xfId="2124" xr:uid="{00000000-0005-0000-0000-00004C080000}"/>
    <cellStyle name="Note 12 6" xfId="2125" xr:uid="{00000000-0005-0000-0000-00004D080000}"/>
    <cellStyle name="Note 13" xfId="2126" xr:uid="{00000000-0005-0000-0000-00004E080000}"/>
    <cellStyle name="Note 13 2" xfId="2127" xr:uid="{00000000-0005-0000-0000-00004F080000}"/>
    <cellStyle name="Note 13 3" xfId="2128" xr:uid="{00000000-0005-0000-0000-000050080000}"/>
    <cellStyle name="Note 13 4" xfId="2129" xr:uid="{00000000-0005-0000-0000-000051080000}"/>
    <cellStyle name="Note 13 5" xfId="2130" xr:uid="{00000000-0005-0000-0000-000052080000}"/>
    <cellStyle name="Note 13 6" xfId="2131" xr:uid="{00000000-0005-0000-0000-000053080000}"/>
    <cellStyle name="Note 14 2" xfId="2132" xr:uid="{00000000-0005-0000-0000-000054080000}"/>
    <cellStyle name="Note 15 2" xfId="2133" xr:uid="{00000000-0005-0000-0000-000055080000}"/>
    <cellStyle name="Note 2" xfId="2134" xr:uid="{00000000-0005-0000-0000-000056080000}"/>
    <cellStyle name="Note 2 10" xfId="2135" xr:uid="{00000000-0005-0000-0000-000057080000}"/>
    <cellStyle name="Note 2 11" xfId="2136" xr:uid="{00000000-0005-0000-0000-000058080000}"/>
    <cellStyle name="Note 2 13" xfId="2137" xr:uid="{00000000-0005-0000-0000-000059080000}"/>
    <cellStyle name="Note 2 2" xfId="2138" xr:uid="{00000000-0005-0000-0000-00005A080000}"/>
    <cellStyle name="Note 2 3" xfId="2139" xr:uid="{00000000-0005-0000-0000-00005B080000}"/>
    <cellStyle name="Note 2 4" xfId="2140" xr:uid="{00000000-0005-0000-0000-00005C080000}"/>
    <cellStyle name="Note 2 5" xfId="2141" xr:uid="{00000000-0005-0000-0000-00005D080000}"/>
    <cellStyle name="Note 2 6" xfId="2142" xr:uid="{00000000-0005-0000-0000-00005E080000}"/>
    <cellStyle name="Note 2 7" xfId="2143" xr:uid="{00000000-0005-0000-0000-00005F080000}"/>
    <cellStyle name="Note 2 8" xfId="2144" xr:uid="{00000000-0005-0000-0000-000060080000}"/>
    <cellStyle name="Note 2 9" xfId="2145" xr:uid="{00000000-0005-0000-0000-000061080000}"/>
    <cellStyle name="Note 3" xfId="2146" xr:uid="{00000000-0005-0000-0000-000062080000}"/>
    <cellStyle name="Note 4" xfId="2147" xr:uid="{00000000-0005-0000-0000-000063080000}"/>
    <cellStyle name="Note 5" xfId="2148" xr:uid="{00000000-0005-0000-0000-000064080000}"/>
    <cellStyle name="Note 6" xfId="2149" xr:uid="{00000000-0005-0000-0000-000065080000}"/>
    <cellStyle name="Note 7" xfId="2150" xr:uid="{00000000-0005-0000-0000-000066080000}"/>
    <cellStyle name="Note 8" xfId="2151" xr:uid="{00000000-0005-0000-0000-000067080000}"/>
    <cellStyle name="Note 8 2" xfId="2152" xr:uid="{00000000-0005-0000-0000-000068080000}"/>
    <cellStyle name="Note 8 3" xfId="2153" xr:uid="{00000000-0005-0000-0000-000069080000}"/>
    <cellStyle name="Note 8 5" xfId="2154" xr:uid="{00000000-0005-0000-0000-00006A080000}"/>
    <cellStyle name="Note 8 6" xfId="2155" xr:uid="{00000000-0005-0000-0000-00006B080000}"/>
    <cellStyle name="Note 9" xfId="2156" xr:uid="{00000000-0005-0000-0000-00006C080000}"/>
    <cellStyle name="Note 9 2" xfId="2157" xr:uid="{00000000-0005-0000-0000-00006D080000}"/>
    <cellStyle name="Note 9 3" xfId="2158" xr:uid="{00000000-0005-0000-0000-00006E080000}"/>
    <cellStyle name="Note 9 5" xfId="2159" xr:uid="{00000000-0005-0000-0000-00006F080000}"/>
    <cellStyle name="Note 9 6" xfId="2160" xr:uid="{00000000-0005-0000-0000-000070080000}"/>
    <cellStyle name="Output 10" xfId="2161" xr:uid="{00000000-0005-0000-0000-000071080000}"/>
    <cellStyle name="Output 10 2" xfId="2162" xr:uid="{00000000-0005-0000-0000-000072080000}"/>
    <cellStyle name="Output 10 3" xfId="2163" xr:uid="{00000000-0005-0000-0000-000073080000}"/>
    <cellStyle name="Output 10 4" xfId="2164" xr:uid="{00000000-0005-0000-0000-000074080000}"/>
    <cellStyle name="Output 10 5" xfId="2165" xr:uid="{00000000-0005-0000-0000-000075080000}"/>
    <cellStyle name="Output 10 6" xfId="2166" xr:uid="{00000000-0005-0000-0000-000076080000}"/>
    <cellStyle name="Output 11" xfId="2167" xr:uid="{00000000-0005-0000-0000-000077080000}"/>
    <cellStyle name="Output 11 2" xfId="2168" xr:uid="{00000000-0005-0000-0000-000078080000}"/>
    <cellStyle name="Output 11 3" xfId="2169" xr:uid="{00000000-0005-0000-0000-000079080000}"/>
    <cellStyle name="Output 11 4" xfId="2170" xr:uid="{00000000-0005-0000-0000-00007A080000}"/>
    <cellStyle name="Output 11 5" xfId="2171" xr:uid="{00000000-0005-0000-0000-00007B080000}"/>
    <cellStyle name="Output 11 6" xfId="2172" xr:uid="{00000000-0005-0000-0000-00007C080000}"/>
    <cellStyle name="Output 12" xfId="2173" xr:uid="{00000000-0005-0000-0000-00007D080000}"/>
    <cellStyle name="Output 12 2" xfId="2174" xr:uid="{00000000-0005-0000-0000-00007E080000}"/>
    <cellStyle name="Output 12 3" xfId="2175" xr:uid="{00000000-0005-0000-0000-00007F080000}"/>
    <cellStyle name="Output 12 4" xfId="2176" xr:uid="{00000000-0005-0000-0000-000080080000}"/>
    <cellStyle name="Output 12 6" xfId="2177" xr:uid="{00000000-0005-0000-0000-000081080000}"/>
    <cellStyle name="Output 13" xfId="2178" xr:uid="{00000000-0005-0000-0000-000082080000}"/>
    <cellStyle name="Output 13 2" xfId="2179" xr:uid="{00000000-0005-0000-0000-000083080000}"/>
    <cellStyle name="Output 13 3" xfId="2180" xr:uid="{00000000-0005-0000-0000-000084080000}"/>
    <cellStyle name="Output 13 4" xfId="2181" xr:uid="{00000000-0005-0000-0000-000085080000}"/>
    <cellStyle name="Output 14 2" xfId="2182" xr:uid="{00000000-0005-0000-0000-000086080000}"/>
    <cellStyle name="Output 15 2" xfId="2183" xr:uid="{00000000-0005-0000-0000-000087080000}"/>
    <cellStyle name="Output 2" xfId="2184" xr:uid="{00000000-0005-0000-0000-000088080000}"/>
    <cellStyle name="Output 2 10" xfId="2185" xr:uid="{00000000-0005-0000-0000-000089080000}"/>
    <cellStyle name="Output 2 11" xfId="2186" xr:uid="{00000000-0005-0000-0000-00008A080000}"/>
    <cellStyle name="Output 2 12" xfId="2187" xr:uid="{00000000-0005-0000-0000-00008B080000}"/>
    <cellStyle name="Output 2 13" xfId="2188" xr:uid="{00000000-0005-0000-0000-00008C080000}"/>
    <cellStyle name="Output 2 2" xfId="2189" xr:uid="{00000000-0005-0000-0000-00008D080000}"/>
    <cellStyle name="Output 2 3" xfId="2190" xr:uid="{00000000-0005-0000-0000-00008E080000}"/>
    <cellStyle name="Output 2 4" xfId="2191" xr:uid="{00000000-0005-0000-0000-00008F080000}"/>
    <cellStyle name="Output 2 5" xfId="2192" xr:uid="{00000000-0005-0000-0000-000090080000}"/>
    <cellStyle name="Output 2 6" xfId="2193" xr:uid="{00000000-0005-0000-0000-000091080000}"/>
    <cellStyle name="Output 2 7" xfId="2194" xr:uid="{00000000-0005-0000-0000-000092080000}"/>
    <cellStyle name="Output 2 8" xfId="2195" xr:uid="{00000000-0005-0000-0000-000093080000}"/>
    <cellStyle name="Output 2 9" xfId="2196" xr:uid="{00000000-0005-0000-0000-000094080000}"/>
    <cellStyle name="Output 3" xfId="2197" xr:uid="{00000000-0005-0000-0000-000095080000}"/>
    <cellStyle name="Output 4" xfId="2198" xr:uid="{00000000-0005-0000-0000-000096080000}"/>
    <cellStyle name="Output 5" xfId="2199" xr:uid="{00000000-0005-0000-0000-000097080000}"/>
    <cellStyle name="Output 6" xfId="2200" xr:uid="{00000000-0005-0000-0000-000098080000}"/>
    <cellStyle name="Output 7" xfId="2201" xr:uid="{00000000-0005-0000-0000-000099080000}"/>
    <cellStyle name="Output 8" xfId="2202" xr:uid="{00000000-0005-0000-0000-00009A080000}"/>
    <cellStyle name="Output 8 3" xfId="2203" xr:uid="{00000000-0005-0000-0000-00009B080000}"/>
    <cellStyle name="Output 8 4" xfId="2204" xr:uid="{00000000-0005-0000-0000-00009C080000}"/>
    <cellStyle name="Output 8 6" xfId="2205" xr:uid="{00000000-0005-0000-0000-00009D080000}"/>
    <cellStyle name="Output 9" xfId="2206" xr:uid="{00000000-0005-0000-0000-00009E080000}"/>
    <cellStyle name="Output 9 3" xfId="2207" xr:uid="{00000000-0005-0000-0000-00009F080000}"/>
    <cellStyle name="Output 9 4" xfId="2208" xr:uid="{00000000-0005-0000-0000-0000A0080000}"/>
    <cellStyle name="Output 9 5" xfId="2209" xr:uid="{00000000-0005-0000-0000-0000A1080000}"/>
    <cellStyle name="Output 9 6" xfId="2210" xr:uid="{00000000-0005-0000-0000-0000A2080000}"/>
    <cellStyle name="Title 10" xfId="2211" xr:uid="{00000000-0005-0000-0000-0000A3080000}"/>
    <cellStyle name="Title 10 2" xfId="2212" xr:uid="{00000000-0005-0000-0000-0000A4080000}"/>
    <cellStyle name="Title 10 3" xfId="2213" xr:uid="{00000000-0005-0000-0000-0000A5080000}"/>
    <cellStyle name="Title 10 4" xfId="2214" xr:uid="{00000000-0005-0000-0000-0000A6080000}"/>
    <cellStyle name="Title 10 5" xfId="2215" xr:uid="{00000000-0005-0000-0000-0000A7080000}"/>
    <cellStyle name="Title 10 6" xfId="2216" xr:uid="{00000000-0005-0000-0000-0000A8080000}"/>
    <cellStyle name="Title 11" xfId="2217" xr:uid="{00000000-0005-0000-0000-0000A9080000}"/>
    <cellStyle name="Title 11 2" xfId="2218" xr:uid="{00000000-0005-0000-0000-0000AA080000}"/>
    <cellStyle name="Title 11 3" xfId="2219" xr:uid="{00000000-0005-0000-0000-0000AB080000}"/>
    <cellStyle name="Title 11 4" xfId="2220" xr:uid="{00000000-0005-0000-0000-0000AC080000}"/>
    <cellStyle name="Title 11 5" xfId="2221" xr:uid="{00000000-0005-0000-0000-0000AD080000}"/>
    <cellStyle name="Title 11 6" xfId="2222" xr:uid="{00000000-0005-0000-0000-0000AE080000}"/>
    <cellStyle name="Title 12" xfId="2223" xr:uid="{00000000-0005-0000-0000-0000AF080000}"/>
    <cellStyle name="Title 12 2" xfId="2224" xr:uid="{00000000-0005-0000-0000-0000B0080000}"/>
    <cellStyle name="Title 12 3" xfId="2225" xr:uid="{00000000-0005-0000-0000-0000B1080000}"/>
    <cellStyle name="Title 12 5" xfId="2226" xr:uid="{00000000-0005-0000-0000-0000B2080000}"/>
    <cellStyle name="Title 12 6" xfId="2227" xr:uid="{00000000-0005-0000-0000-0000B3080000}"/>
    <cellStyle name="Title 13 2" xfId="2228" xr:uid="{00000000-0005-0000-0000-0000B4080000}"/>
    <cellStyle name="Title 13 3" xfId="2229" xr:uid="{00000000-0005-0000-0000-0000B5080000}"/>
    <cellStyle name="Title 13 4" xfId="2230" xr:uid="{00000000-0005-0000-0000-0000B6080000}"/>
    <cellStyle name="Title 13 5" xfId="2231" xr:uid="{00000000-0005-0000-0000-0000B7080000}"/>
    <cellStyle name="Title 13 6" xfId="2232" xr:uid="{00000000-0005-0000-0000-0000B8080000}"/>
    <cellStyle name="Title 14" xfId="2233" xr:uid="{00000000-0005-0000-0000-0000B9080000}"/>
    <cellStyle name="Title 14 2" xfId="2234" xr:uid="{00000000-0005-0000-0000-0000BA080000}"/>
    <cellStyle name="Title 15 2" xfId="2235" xr:uid="{00000000-0005-0000-0000-0000BB080000}"/>
    <cellStyle name="Title 16" xfId="2236" xr:uid="{00000000-0005-0000-0000-0000BC080000}"/>
    <cellStyle name="Title 2" xfId="2237" xr:uid="{00000000-0005-0000-0000-0000BD080000}"/>
    <cellStyle name="Title 2 10" xfId="2238" xr:uid="{00000000-0005-0000-0000-0000BE080000}"/>
    <cellStyle name="Title 2 11" xfId="2239" xr:uid="{00000000-0005-0000-0000-0000BF080000}"/>
    <cellStyle name="Title 2 12" xfId="2240" xr:uid="{00000000-0005-0000-0000-0000C0080000}"/>
    <cellStyle name="Title 2 13" xfId="2241" xr:uid="{00000000-0005-0000-0000-0000C1080000}"/>
    <cellStyle name="Title 2 2" xfId="2242" xr:uid="{00000000-0005-0000-0000-0000C2080000}"/>
    <cellStyle name="Title 2 3" xfId="2243" xr:uid="{00000000-0005-0000-0000-0000C3080000}"/>
    <cellStyle name="Title 2 4" xfId="2244" xr:uid="{00000000-0005-0000-0000-0000C4080000}"/>
    <cellStyle name="Title 2 5" xfId="2245" xr:uid="{00000000-0005-0000-0000-0000C5080000}"/>
    <cellStyle name="Title 2 6" xfId="2246" xr:uid="{00000000-0005-0000-0000-0000C6080000}"/>
    <cellStyle name="Title 2 8" xfId="2247" xr:uid="{00000000-0005-0000-0000-0000C7080000}"/>
    <cellStyle name="Title 3" xfId="2248" xr:uid="{00000000-0005-0000-0000-0000C8080000}"/>
    <cellStyle name="Title 4" xfId="2249" xr:uid="{00000000-0005-0000-0000-0000C9080000}"/>
    <cellStyle name="Title 5" xfId="2250" xr:uid="{00000000-0005-0000-0000-0000CA080000}"/>
    <cellStyle name="Title 6" xfId="2251" xr:uid="{00000000-0005-0000-0000-0000CB080000}"/>
    <cellStyle name="Title 7" xfId="2252" xr:uid="{00000000-0005-0000-0000-0000CC080000}"/>
    <cellStyle name="Title 8" xfId="2253" xr:uid="{00000000-0005-0000-0000-0000CD080000}"/>
    <cellStyle name="Title 8 3" xfId="2254" xr:uid="{00000000-0005-0000-0000-0000CE080000}"/>
    <cellStyle name="Title 8 4" xfId="2255" xr:uid="{00000000-0005-0000-0000-0000CF080000}"/>
    <cellStyle name="Title 8 5" xfId="2256" xr:uid="{00000000-0005-0000-0000-0000D0080000}"/>
    <cellStyle name="Title 8 6" xfId="2257" xr:uid="{00000000-0005-0000-0000-0000D1080000}"/>
    <cellStyle name="Title 9" xfId="2258" xr:uid="{00000000-0005-0000-0000-0000D2080000}"/>
    <cellStyle name="Title 9 2" xfId="2259" xr:uid="{00000000-0005-0000-0000-0000D3080000}"/>
    <cellStyle name="Title 9 3" xfId="2260" xr:uid="{00000000-0005-0000-0000-0000D4080000}"/>
    <cellStyle name="Title 9 4" xfId="2261" xr:uid="{00000000-0005-0000-0000-0000D5080000}"/>
    <cellStyle name="Title 9 5" xfId="2262" xr:uid="{00000000-0005-0000-0000-0000D6080000}"/>
    <cellStyle name="Title 9 6" xfId="2263" xr:uid="{00000000-0005-0000-0000-0000D7080000}"/>
    <cellStyle name="Total 10" xfId="2264" xr:uid="{00000000-0005-0000-0000-0000D8080000}"/>
    <cellStyle name="Total 10 2" xfId="2265" xr:uid="{00000000-0005-0000-0000-0000D9080000}"/>
    <cellStyle name="Total 10 3" xfId="2266" xr:uid="{00000000-0005-0000-0000-0000DA080000}"/>
    <cellStyle name="Total 10 4" xfId="2267" xr:uid="{00000000-0005-0000-0000-0000DB080000}"/>
    <cellStyle name="Total 10 5" xfId="2268" xr:uid="{00000000-0005-0000-0000-0000DC080000}"/>
    <cellStyle name="Total 10 6" xfId="2269" xr:uid="{00000000-0005-0000-0000-0000DD080000}"/>
    <cellStyle name="Total 11" xfId="2270" xr:uid="{00000000-0005-0000-0000-0000DE080000}"/>
    <cellStyle name="Total 11 2" xfId="2271" xr:uid="{00000000-0005-0000-0000-0000DF080000}"/>
    <cellStyle name="Total 11 3" xfId="2272" xr:uid="{00000000-0005-0000-0000-0000E0080000}"/>
    <cellStyle name="Total 11 5" xfId="2273" xr:uid="{00000000-0005-0000-0000-0000E1080000}"/>
    <cellStyle name="Total 11 6" xfId="2274" xr:uid="{00000000-0005-0000-0000-0000E2080000}"/>
    <cellStyle name="Total 12" xfId="2275" xr:uid="{00000000-0005-0000-0000-0000E3080000}"/>
    <cellStyle name="Total 12 2" xfId="2276" xr:uid="{00000000-0005-0000-0000-0000E4080000}"/>
    <cellStyle name="Total 12 3" xfId="2277" xr:uid="{00000000-0005-0000-0000-0000E5080000}"/>
    <cellStyle name="Total 12 5" xfId="2278" xr:uid="{00000000-0005-0000-0000-0000E6080000}"/>
    <cellStyle name="Total 12 6" xfId="2279" xr:uid="{00000000-0005-0000-0000-0000E7080000}"/>
    <cellStyle name="Total 13" xfId="2280" xr:uid="{00000000-0005-0000-0000-0000E8080000}"/>
    <cellStyle name="Total 13 2" xfId="2281" xr:uid="{00000000-0005-0000-0000-0000E9080000}"/>
    <cellStyle name="Total 13 3" xfId="2282" xr:uid="{00000000-0005-0000-0000-0000EA080000}"/>
    <cellStyle name="Total 13 4" xfId="2283" xr:uid="{00000000-0005-0000-0000-0000EB080000}"/>
    <cellStyle name="Total 13 5" xfId="2284" xr:uid="{00000000-0005-0000-0000-0000EC080000}"/>
    <cellStyle name="Total 13 6" xfId="2285" xr:uid="{00000000-0005-0000-0000-0000ED080000}"/>
    <cellStyle name="Total 14" xfId="2286" xr:uid="{00000000-0005-0000-0000-0000EE080000}"/>
    <cellStyle name="Total 14 2" xfId="2287" xr:uid="{00000000-0005-0000-0000-0000EF080000}"/>
    <cellStyle name="Total 15 2" xfId="2288" xr:uid="{00000000-0005-0000-0000-0000F0080000}"/>
    <cellStyle name="Total 16" xfId="2289" xr:uid="{00000000-0005-0000-0000-0000F1080000}"/>
    <cellStyle name="Total 2" xfId="2290" xr:uid="{00000000-0005-0000-0000-0000F2080000}"/>
    <cellStyle name="Total 2 10" xfId="2291" xr:uid="{00000000-0005-0000-0000-0000F3080000}"/>
    <cellStyle name="Total 2 11" xfId="2292" xr:uid="{00000000-0005-0000-0000-0000F4080000}"/>
    <cellStyle name="Total 2 12" xfId="2293" xr:uid="{00000000-0005-0000-0000-0000F5080000}"/>
    <cellStyle name="Total 2 13" xfId="2294" xr:uid="{00000000-0005-0000-0000-0000F6080000}"/>
    <cellStyle name="Total 2 2" xfId="2295" xr:uid="{00000000-0005-0000-0000-0000F7080000}"/>
    <cellStyle name="Total 2 4" xfId="2296" xr:uid="{00000000-0005-0000-0000-0000F8080000}"/>
    <cellStyle name="Total 2 5" xfId="2297" xr:uid="{00000000-0005-0000-0000-0000F9080000}"/>
    <cellStyle name="Total 2 7" xfId="2298" xr:uid="{00000000-0005-0000-0000-0000FA080000}"/>
    <cellStyle name="Total 2 8" xfId="2299" xr:uid="{00000000-0005-0000-0000-0000FB080000}"/>
    <cellStyle name="Total 3" xfId="2300" xr:uid="{00000000-0005-0000-0000-0000FC080000}"/>
    <cellStyle name="Total 4" xfId="2301" xr:uid="{00000000-0005-0000-0000-0000FD080000}"/>
    <cellStyle name="Total 5" xfId="2302" xr:uid="{00000000-0005-0000-0000-0000FE080000}"/>
    <cellStyle name="Total 6" xfId="2303" xr:uid="{00000000-0005-0000-0000-0000FF080000}"/>
    <cellStyle name="Total 7" xfId="2304" xr:uid="{00000000-0005-0000-0000-000000090000}"/>
    <cellStyle name="Total 8" xfId="2305" xr:uid="{00000000-0005-0000-0000-000001090000}"/>
    <cellStyle name="Total 8 2" xfId="2306" xr:uid="{00000000-0005-0000-0000-000002090000}"/>
    <cellStyle name="Total 8 3" xfId="2307" xr:uid="{00000000-0005-0000-0000-000003090000}"/>
    <cellStyle name="Total 8 4" xfId="2308" xr:uid="{00000000-0005-0000-0000-000004090000}"/>
    <cellStyle name="Total 8 5" xfId="2309" xr:uid="{00000000-0005-0000-0000-000005090000}"/>
    <cellStyle name="Total 8 6" xfId="2310" xr:uid="{00000000-0005-0000-0000-000006090000}"/>
    <cellStyle name="Total 9" xfId="2311" xr:uid="{00000000-0005-0000-0000-000007090000}"/>
    <cellStyle name="Total 9 2" xfId="2312" xr:uid="{00000000-0005-0000-0000-000008090000}"/>
    <cellStyle name="Total 9 3" xfId="2313" xr:uid="{00000000-0005-0000-0000-000009090000}"/>
    <cellStyle name="Total 9 4" xfId="2314" xr:uid="{00000000-0005-0000-0000-00000A090000}"/>
    <cellStyle name="Total 9 5" xfId="2315" xr:uid="{00000000-0005-0000-0000-00000B090000}"/>
    <cellStyle name="Total 9 6" xfId="2316" xr:uid="{00000000-0005-0000-0000-00000C090000}"/>
    <cellStyle name="Warning Text 10" xfId="2317" xr:uid="{00000000-0005-0000-0000-00000D090000}"/>
    <cellStyle name="Warning Text 10 2" xfId="2318" xr:uid="{00000000-0005-0000-0000-00000E090000}"/>
    <cellStyle name="Warning Text 10 3" xfId="2319" xr:uid="{00000000-0005-0000-0000-00000F090000}"/>
    <cellStyle name="Warning Text 10 6" xfId="2320" xr:uid="{00000000-0005-0000-0000-000010090000}"/>
    <cellStyle name="Warning Text 11" xfId="2321" xr:uid="{00000000-0005-0000-0000-000011090000}"/>
    <cellStyle name="Warning Text 11 3" xfId="2322" xr:uid="{00000000-0005-0000-0000-000012090000}"/>
    <cellStyle name="Warning Text 11 5" xfId="2323" xr:uid="{00000000-0005-0000-0000-000013090000}"/>
    <cellStyle name="Warning Text 11 6" xfId="2324" xr:uid="{00000000-0005-0000-0000-000014090000}"/>
    <cellStyle name="Warning Text 12 2" xfId="2325" xr:uid="{00000000-0005-0000-0000-000015090000}"/>
    <cellStyle name="Warning Text 12 3" xfId="2326" xr:uid="{00000000-0005-0000-0000-000016090000}"/>
    <cellStyle name="Warning Text 12 4" xfId="2327" xr:uid="{00000000-0005-0000-0000-000017090000}"/>
    <cellStyle name="Warning Text 12 5" xfId="2328" xr:uid="{00000000-0005-0000-0000-000018090000}"/>
    <cellStyle name="Warning Text 12 6" xfId="2329" xr:uid="{00000000-0005-0000-0000-000019090000}"/>
    <cellStyle name="Warning Text 13" xfId="2330" xr:uid="{00000000-0005-0000-0000-00001A090000}"/>
    <cellStyle name="Warning Text 13 2" xfId="2331" xr:uid="{00000000-0005-0000-0000-00001B090000}"/>
    <cellStyle name="Warning Text 13 3" xfId="2332" xr:uid="{00000000-0005-0000-0000-00001C090000}"/>
    <cellStyle name="Warning Text 13 4" xfId="2333" xr:uid="{00000000-0005-0000-0000-00001D090000}"/>
    <cellStyle name="Warning Text 13 5" xfId="2334" xr:uid="{00000000-0005-0000-0000-00001E090000}"/>
    <cellStyle name="Warning Text 13 6" xfId="2335" xr:uid="{00000000-0005-0000-0000-00001F090000}"/>
    <cellStyle name="Warning Text 14" xfId="2336" xr:uid="{00000000-0005-0000-0000-000020090000}"/>
    <cellStyle name="Warning Text 14 2" xfId="2337" xr:uid="{00000000-0005-0000-0000-000021090000}"/>
    <cellStyle name="Warning Text 15" xfId="2338" xr:uid="{00000000-0005-0000-0000-000022090000}"/>
    <cellStyle name="Warning Text 15 2" xfId="2339" xr:uid="{00000000-0005-0000-0000-000023090000}"/>
    <cellStyle name="Warning Text 16" xfId="2340" xr:uid="{00000000-0005-0000-0000-000024090000}"/>
    <cellStyle name="Warning Text 2" xfId="2341" xr:uid="{00000000-0005-0000-0000-000025090000}"/>
    <cellStyle name="Warning Text 2 10" xfId="2342" xr:uid="{00000000-0005-0000-0000-000026090000}"/>
    <cellStyle name="Warning Text 2 12" xfId="2343" xr:uid="{00000000-0005-0000-0000-000027090000}"/>
    <cellStyle name="Warning Text 2 13" xfId="2344" xr:uid="{00000000-0005-0000-0000-000028090000}"/>
    <cellStyle name="Warning Text 2 3" xfId="2345" xr:uid="{00000000-0005-0000-0000-000029090000}"/>
    <cellStyle name="Warning Text 2 4" xfId="2346" xr:uid="{00000000-0005-0000-0000-00002A090000}"/>
    <cellStyle name="Warning Text 2 6" xfId="2347" xr:uid="{00000000-0005-0000-0000-00002B090000}"/>
    <cellStyle name="Warning Text 2 7" xfId="2348" xr:uid="{00000000-0005-0000-0000-00002C090000}"/>
    <cellStyle name="Warning Text 2 8" xfId="2349" xr:uid="{00000000-0005-0000-0000-00002D090000}"/>
    <cellStyle name="Warning Text 2 9" xfId="2350" xr:uid="{00000000-0005-0000-0000-00002E090000}"/>
    <cellStyle name="Warning Text 3" xfId="2351" xr:uid="{00000000-0005-0000-0000-00002F090000}"/>
    <cellStyle name="Warning Text 4" xfId="2352" xr:uid="{00000000-0005-0000-0000-000030090000}"/>
    <cellStyle name="Warning Text 5" xfId="2353" xr:uid="{00000000-0005-0000-0000-000031090000}"/>
    <cellStyle name="Warning Text 6" xfId="2354" xr:uid="{00000000-0005-0000-0000-000032090000}"/>
    <cellStyle name="Warning Text 7" xfId="2355" xr:uid="{00000000-0005-0000-0000-000033090000}"/>
    <cellStyle name="Warning Text 8" xfId="2356" xr:uid="{00000000-0005-0000-0000-000034090000}"/>
    <cellStyle name="Warning Text 8 2" xfId="2357" xr:uid="{00000000-0005-0000-0000-000035090000}"/>
    <cellStyle name="Warning Text 8 3" xfId="2358" xr:uid="{00000000-0005-0000-0000-000036090000}"/>
    <cellStyle name="Warning Text 8 4" xfId="2359" xr:uid="{00000000-0005-0000-0000-000037090000}"/>
    <cellStyle name="Warning Text 8 5" xfId="2360" xr:uid="{00000000-0005-0000-0000-000038090000}"/>
    <cellStyle name="Warning Text 8 6" xfId="2361" xr:uid="{00000000-0005-0000-0000-000039090000}"/>
    <cellStyle name="Warning Text 9" xfId="2362" xr:uid="{00000000-0005-0000-0000-00003A090000}"/>
    <cellStyle name="Warning Text 9 2" xfId="2363" xr:uid="{00000000-0005-0000-0000-00003B090000}"/>
    <cellStyle name="Warning Text 9 3" xfId="2364" xr:uid="{00000000-0005-0000-0000-00003C090000}"/>
    <cellStyle name="Warning Text 9 4" xfId="2365" xr:uid="{00000000-0005-0000-0000-00003D090000}"/>
    <cellStyle name="Warning Text 9 5" xfId="2366" xr:uid="{00000000-0005-0000-0000-00003E09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dl-atlassian.corp.sydac.com/confluence/display/MODEL/How+to+construct+a+Soft+PL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0"/>
  <sheetViews>
    <sheetView zoomScale="130" zoomScaleNormal="130" workbookViewId="0">
      <selection activeCell="A7" sqref="A7"/>
    </sheetView>
  </sheetViews>
  <sheetFormatPr defaultRowHeight="13.8" x14ac:dyDescent="0.25"/>
  <cols>
    <col min="1" max="1" width="44.3984375" bestFit="1" customWidth="1"/>
  </cols>
  <sheetData>
    <row r="1" spans="1:1" ht="15.6" x14ac:dyDescent="0.3">
      <c r="A1" s="3" t="s">
        <v>2</v>
      </c>
    </row>
    <row r="2" spans="1:1" x14ac:dyDescent="0.25">
      <c r="A2" s="2"/>
    </row>
    <row r="3" spans="1:1" x14ac:dyDescent="0.25">
      <c r="A3" s="13" t="s">
        <v>1</v>
      </c>
    </row>
    <row r="4" spans="1:1" x14ac:dyDescent="0.25">
      <c r="A4" s="8" t="s">
        <v>0</v>
      </c>
    </row>
    <row r="6" spans="1:1" x14ac:dyDescent="0.25">
      <c r="A6" s="13" t="s">
        <v>44</v>
      </c>
    </row>
    <row r="7" spans="1:1" x14ac:dyDescent="0.25">
      <c r="A7" s="1" t="s">
        <v>45</v>
      </c>
    </row>
    <row r="8" spans="1:1" x14ac:dyDescent="0.25">
      <c r="A8" s="14"/>
    </row>
    <row r="9" spans="1:1" x14ac:dyDescent="0.25">
      <c r="A9" s="2"/>
    </row>
    <row r="10" spans="1:1" x14ac:dyDescent="0.25">
      <c r="A10" s="1"/>
    </row>
  </sheetData>
  <hyperlinks>
    <hyperlink ref="A7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51"/>
  <sheetViews>
    <sheetView topLeftCell="A16" zoomScale="120" zoomScaleNormal="120" workbookViewId="0">
      <selection activeCell="E37" sqref="E37"/>
    </sheetView>
  </sheetViews>
  <sheetFormatPr defaultColWidth="9" defaultRowHeight="13.8" x14ac:dyDescent="0.25"/>
  <cols>
    <col min="1" max="1" width="18.59765625" customWidth="1"/>
    <col min="2" max="2" width="15.59765625" customWidth="1"/>
    <col min="3" max="3" width="24.19921875" bestFit="1" customWidth="1"/>
    <col min="4" max="4" width="26.69921875" bestFit="1" customWidth="1"/>
    <col min="5" max="5" width="16" bestFit="1" customWidth="1"/>
    <col min="6" max="6" width="10.8984375" bestFit="1" customWidth="1"/>
  </cols>
  <sheetData>
    <row r="1" spans="1:6" ht="13.5" customHeight="1" x14ac:dyDescent="0.25">
      <c r="A1" s="11"/>
      <c r="B1" s="11"/>
      <c r="C1" s="11"/>
      <c r="E1" s="11"/>
    </row>
    <row r="2" spans="1:6" s="10" customFormat="1" ht="13.5" customHeight="1" thickBot="1" x14ac:dyDescent="0.3">
      <c r="A2" s="6" t="s">
        <v>6</v>
      </c>
      <c r="B2" s="6" t="s">
        <v>4</v>
      </c>
    </row>
    <row r="3" spans="1:6" ht="14.4" thickTop="1" x14ac:dyDescent="0.25">
      <c r="A3" s="11" t="s">
        <v>10</v>
      </c>
      <c r="B3" s="11" t="s">
        <v>9</v>
      </c>
    </row>
    <row r="4" spans="1:6" x14ac:dyDescent="0.25">
      <c r="A4" s="11"/>
    </row>
    <row r="5" spans="1:6" x14ac:dyDescent="0.25">
      <c r="A5" s="5" t="s">
        <v>6</v>
      </c>
      <c r="B5" s="5" t="s">
        <v>4</v>
      </c>
      <c r="C5" s="5" t="s">
        <v>8</v>
      </c>
      <c r="D5" s="11"/>
      <c r="E5" s="11"/>
      <c r="F5" s="11"/>
    </row>
    <row r="6" spans="1:6" x14ac:dyDescent="0.25">
      <c r="A6" s="11" t="s">
        <v>7</v>
      </c>
      <c r="B6" s="4" t="s">
        <v>30</v>
      </c>
      <c r="C6" s="27" t="s">
        <v>30</v>
      </c>
      <c r="D6" s="11" t="b">
        <f t="shared" ref="D6:D7" si="0">TRIM(C6)&lt;&gt;""</f>
        <v>1</v>
      </c>
      <c r="E6" s="11"/>
      <c r="F6" s="11"/>
    </row>
    <row r="7" spans="1:6" x14ac:dyDescent="0.25">
      <c r="A7" s="11" t="s">
        <v>7</v>
      </c>
      <c r="B7" s="4" t="s">
        <v>33</v>
      </c>
      <c r="C7" s="27" t="s">
        <v>42</v>
      </c>
      <c r="D7" s="11" t="b">
        <f t="shared" si="0"/>
        <v>1</v>
      </c>
      <c r="E7" s="11"/>
      <c r="F7" s="11"/>
    </row>
    <row r="8" spans="1:6" x14ac:dyDescent="0.25">
      <c r="A8" s="11" t="s">
        <v>7</v>
      </c>
      <c r="B8" s="4" t="s">
        <v>46</v>
      </c>
      <c r="C8" s="27" t="s">
        <v>46</v>
      </c>
      <c r="D8" s="11"/>
      <c r="E8" s="11"/>
      <c r="F8" s="11"/>
    </row>
    <row r="9" spans="1:6" x14ac:dyDescent="0.25">
      <c r="A9" s="11" t="s">
        <v>7</v>
      </c>
      <c r="B9" s="4" t="s">
        <v>47</v>
      </c>
      <c r="C9" s="27" t="s">
        <v>47</v>
      </c>
      <c r="D9" s="11"/>
      <c r="E9" s="11"/>
      <c r="F9" s="11"/>
    </row>
    <row r="10" spans="1:6" x14ac:dyDescent="0.25">
      <c r="A10" s="11" t="s">
        <v>7</v>
      </c>
      <c r="B10" s="4" t="s">
        <v>36</v>
      </c>
      <c r="C10" s="27" t="s">
        <v>36</v>
      </c>
      <c r="D10" s="11" t="b">
        <f>TRIM(C10)&lt;&gt;""</f>
        <v>1</v>
      </c>
      <c r="E10" s="11"/>
      <c r="F10" s="11"/>
    </row>
    <row r="11" spans="1:6" x14ac:dyDescent="0.25">
      <c r="A11" s="11" t="s">
        <v>7</v>
      </c>
      <c r="B11" s="4" t="s">
        <v>35</v>
      </c>
      <c r="C11" s="27" t="s">
        <v>35</v>
      </c>
      <c r="D11" s="11" t="b">
        <f t="shared" ref="D11:D29" si="1">TRIM(C11)&lt;&gt;""</f>
        <v>1</v>
      </c>
      <c r="F11" s="11"/>
    </row>
    <row r="12" spans="1:6" x14ac:dyDescent="0.25">
      <c r="A12" s="11" t="s">
        <v>7</v>
      </c>
      <c r="B12" s="4" t="s">
        <v>43</v>
      </c>
      <c r="C12" s="27" t="s">
        <v>43</v>
      </c>
      <c r="D12" s="11" t="b">
        <f t="shared" si="1"/>
        <v>1</v>
      </c>
      <c r="F12" s="11"/>
    </row>
    <row r="13" spans="1:6" x14ac:dyDescent="0.25">
      <c r="A13" s="11" t="s">
        <v>7</v>
      </c>
      <c r="B13" s="4" t="s">
        <v>3</v>
      </c>
      <c r="C13" s="27" t="s">
        <v>3</v>
      </c>
      <c r="D13" s="11" t="b">
        <f t="shared" si="1"/>
        <v>1</v>
      </c>
      <c r="E13" s="11"/>
      <c r="F13" s="11"/>
    </row>
    <row r="14" spans="1:6" x14ac:dyDescent="0.25">
      <c r="A14" s="11" t="s">
        <v>7</v>
      </c>
      <c r="B14" s="4" t="s">
        <v>37</v>
      </c>
      <c r="C14" s="27" t="s">
        <v>37</v>
      </c>
      <c r="D14" s="11" t="b">
        <f t="shared" si="1"/>
        <v>1</v>
      </c>
      <c r="E14" s="11"/>
      <c r="F14" s="11"/>
    </row>
    <row r="15" spans="1:6" x14ac:dyDescent="0.25">
      <c r="A15" s="11" t="s">
        <v>7</v>
      </c>
      <c r="B15" s="4" t="s">
        <v>34</v>
      </c>
      <c r="C15" s="27" t="s">
        <v>34</v>
      </c>
      <c r="D15" s="11" t="b">
        <f t="shared" si="1"/>
        <v>1</v>
      </c>
      <c r="E15" s="11"/>
      <c r="F15" s="11"/>
    </row>
    <row r="16" spans="1:6" x14ac:dyDescent="0.25">
      <c r="A16" s="11" t="s">
        <v>7</v>
      </c>
      <c r="B16" s="5" t="s">
        <v>18</v>
      </c>
      <c r="C16" s="11" t="s">
        <v>18</v>
      </c>
      <c r="D16" s="11" t="b">
        <f t="shared" si="1"/>
        <v>1</v>
      </c>
      <c r="E16" s="11"/>
      <c r="F16" s="11"/>
    </row>
    <row r="17" spans="1:6" x14ac:dyDescent="0.25">
      <c r="A17" s="11" t="s">
        <v>7</v>
      </c>
      <c r="B17" s="5" t="s">
        <v>17</v>
      </c>
      <c r="C17" s="11" t="s">
        <v>17</v>
      </c>
      <c r="D17" s="11" t="b">
        <f t="shared" si="1"/>
        <v>1</v>
      </c>
      <c r="E17" s="11"/>
      <c r="F17" s="11"/>
    </row>
    <row r="18" spans="1:6" x14ac:dyDescent="0.25">
      <c r="A18" s="11" t="s">
        <v>7</v>
      </c>
      <c r="B18" s="4" t="s">
        <v>20</v>
      </c>
      <c r="C18" s="27" t="s">
        <v>20</v>
      </c>
      <c r="D18" s="11" t="b">
        <f t="shared" si="1"/>
        <v>1</v>
      </c>
      <c r="E18" s="11"/>
      <c r="F18" s="11"/>
    </row>
    <row r="19" spans="1:6" x14ac:dyDescent="0.25">
      <c r="A19" s="11" t="s">
        <v>7</v>
      </c>
      <c r="B19" s="4" t="s">
        <v>21</v>
      </c>
      <c r="C19" s="27" t="s">
        <v>21</v>
      </c>
      <c r="D19" s="11" t="b">
        <f t="shared" si="1"/>
        <v>1</v>
      </c>
      <c r="E19" s="11"/>
      <c r="F19" s="11"/>
    </row>
    <row r="20" spans="1:6" x14ac:dyDescent="0.25">
      <c r="A20" s="11" t="s">
        <v>7</v>
      </c>
      <c r="B20" s="4" t="s">
        <v>22</v>
      </c>
      <c r="C20" s="27" t="s">
        <v>22</v>
      </c>
      <c r="D20" s="11" t="b">
        <f t="shared" si="1"/>
        <v>1</v>
      </c>
      <c r="E20" s="11"/>
      <c r="F20" s="11"/>
    </row>
    <row r="21" spans="1:6" x14ac:dyDescent="0.25">
      <c r="A21" s="11" t="s">
        <v>7</v>
      </c>
      <c r="B21" s="4" t="s">
        <v>23</v>
      </c>
      <c r="C21" s="27" t="s">
        <v>23</v>
      </c>
      <c r="D21" s="11" t="b">
        <f t="shared" si="1"/>
        <v>1</v>
      </c>
      <c r="E21" s="11"/>
      <c r="F21" s="11"/>
    </row>
    <row r="22" spans="1:6" x14ac:dyDescent="0.25">
      <c r="A22" s="11" t="s">
        <v>7</v>
      </c>
      <c r="B22" s="4" t="s">
        <v>24</v>
      </c>
      <c r="C22" s="27" t="s">
        <v>24</v>
      </c>
      <c r="D22" s="11" t="b">
        <f t="shared" si="1"/>
        <v>1</v>
      </c>
      <c r="E22" s="11"/>
      <c r="F22" s="11"/>
    </row>
    <row r="23" spans="1:6" x14ac:dyDescent="0.25">
      <c r="A23" s="11" t="s">
        <v>7</v>
      </c>
      <c r="B23" s="4" t="s">
        <v>25</v>
      </c>
      <c r="C23" s="27" t="s">
        <v>25</v>
      </c>
      <c r="D23" s="11" t="b">
        <f t="shared" si="1"/>
        <v>1</v>
      </c>
      <c r="E23" s="11"/>
      <c r="F23" s="11"/>
    </row>
    <row r="24" spans="1:6" x14ac:dyDescent="0.25">
      <c r="A24" s="11" t="s">
        <v>7</v>
      </c>
      <c r="B24" s="4" t="s">
        <v>26</v>
      </c>
      <c r="C24" s="27" t="s">
        <v>26</v>
      </c>
      <c r="D24" s="11" t="b">
        <f t="shared" si="1"/>
        <v>1</v>
      </c>
      <c r="E24" s="11"/>
      <c r="F24" s="11"/>
    </row>
    <row r="25" spans="1:6" x14ac:dyDescent="0.25">
      <c r="A25" s="11" t="s">
        <v>7</v>
      </c>
      <c r="B25" s="4" t="s">
        <v>27</v>
      </c>
      <c r="C25" s="27" t="s">
        <v>27</v>
      </c>
      <c r="D25" s="11" t="b">
        <f t="shared" si="1"/>
        <v>1</v>
      </c>
      <c r="E25" s="11"/>
      <c r="F25" s="11"/>
    </row>
    <row r="26" spans="1:6" x14ac:dyDescent="0.25">
      <c r="A26" s="11" t="s">
        <v>7</v>
      </c>
      <c r="B26" s="4" t="s">
        <v>50</v>
      </c>
      <c r="C26" s="27" t="s">
        <v>50</v>
      </c>
      <c r="D26" s="11" t="b">
        <f t="shared" si="1"/>
        <v>1</v>
      </c>
      <c r="E26" s="11"/>
      <c r="F26" s="11"/>
    </row>
    <row r="27" spans="1:6" x14ac:dyDescent="0.25">
      <c r="A27" s="11" t="s">
        <v>7</v>
      </c>
      <c r="B27" s="4" t="s">
        <v>51</v>
      </c>
      <c r="C27" s="27" t="s">
        <v>51</v>
      </c>
      <c r="D27" s="11" t="b">
        <f t="shared" si="1"/>
        <v>1</v>
      </c>
      <c r="E27" s="11"/>
      <c r="F27" s="11"/>
    </row>
    <row r="28" spans="1:6" x14ac:dyDescent="0.25">
      <c r="A28" s="11" t="s">
        <v>7</v>
      </c>
      <c r="B28" s="4" t="s">
        <v>52</v>
      </c>
      <c r="C28" s="27" t="s">
        <v>52</v>
      </c>
      <c r="D28" s="11" t="b">
        <f t="shared" si="1"/>
        <v>1</v>
      </c>
      <c r="E28" s="11"/>
      <c r="F28" s="11"/>
    </row>
    <row r="29" spans="1:6" x14ac:dyDescent="0.25">
      <c r="A29" s="11" t="s">
        <v>7</v>
      </c>
      <c r="B29" s="4" t="s">
        <v>53</v>
      </c>
      <c r="C29" s="27" t="s">
        <v>53</v>
      </c>
      <c r="D29" s="11" t="b">
        <f t="shared" si="1"/>
        <v>1</v>
      </c>
      <c r="E29" s="11"/>
      <c r="F29" s="11"/>
    </row>
    <row r="30" spans="1:6" x14ac:dyDescent="0.25">
      <c r="A30" s="11"/>
      <c r="B30" s="4" t="s">
        <v>19</v>
      </c>
      <c r="C30" s="27" t="str">
        <f>C9&amp;","&amp;C8</f>
        <v>column,row</v>
      </c>
      <c r="D30" s="11" t="b">
        <f>TRIM(C30)&lt;&gt;""</f>
        <v>1</v>
      </c>
      <c r="E30" s="11"/>
      <c r="F30" s="11"/>
    </row>
    <row r="31" spans="1:6" x14ac:dyDescent="0.25">
      <c r="A31" s="11"/>
      <c r="B31" s="5" t="s">
        <v>41</v>
      </c>
      <c r="C31" t="str">
        <f>C6&amp;IF(D7=TRUE," ","")&amp;C7&amp;" "&amp;C16</f>
        <v>tab parentpanel name</v>
      </c>
      <c r="D31" s="11"/>
      <c r="E31" s="11"/>
      <c r="F31" s="11"/>
    </row>
    <row r="32" spans="1:6" ht="27.6" x14ac:dyDescent="0.25">
      <c r="A32" s="11"/>
      <c r="B32" s="4" t="s">
        <v>40</v>
      </c>
      <c r="C32" s="27" t="str">
        <f>C6&amp;" "&amp;C7&amp;" Ctrl"&amp;TEXT(C9, "00")&amp;TEXT(C8, "00")</f>
        <v>tab parentpanel Ctrlcolumnrow</v>
      </c>
      <c r="D32" s="11"/>
      <c r="E32" s="11"/>
      <c r="F32" s="11"/>
    </row>
    <row r="33" spans="1:6" x14ac:dyDescent="0.25">
      <c r="A33" s="11"/>
      <c r="B33" s="11"/>
      <c r="C33" s="11"/>
      <c r="D33" s="11"/>
      <c r="E33" s="11"/>
      <c r="F33" s="11"/>
    </row>
    <row r="34" spans="1:6" x14ac:dyDescent="0.25">
      <c r="A34" s="5" t="s">
        <v>6</v>
      </c>
      <c r="B34" s="5" t="s">
        <v>5</v>
      </c>
      <c r="C34" s="7" t="s">
        <v>4</v>
      </c>
      <c r="D34" s="7" t="s">
        <v>14</v>
      </c>
      <c r="E34" s="7" t="s">
        <v>13</v>
      </c>
      <c r="F34" s="7" t="s">
        <v>8</v>
      </c>
    </row>
    <row r="35" spans="1:6" x14ac:dyDescent="0.25">
      <c r="A35" s="11" t="s">
        <v>11</v>
      </c>
      <c r="B35" s="11" t="b">
        <f>D7</f>
        <v>1</v>
      </c>
      <c r="C35" s="11" t="s">
        <v>2</v>
      </c>
      <c r="D35" s="11" t="str">
        <f t="shared" ref="D35:D50" si="2">IF(C$11="Panel", C$31,C$32)</f>
        <v>tab parentpanel Ctrlcolumnrow</v>
      </c>
      <c r="E35" s="27" t="s">
        <v>33</v>
      </c>
      <c r="F35" s="39" t="str">
        <f>C7</f>
        <v>parentpanel</v>
      </c>
    </row>
    <row r="36" spans="1:6" x14ac:dyDescent="0.25">
      <c r="A36" s="11" t="s">
        <v>11</v>
      </c>
      <c r="B36" s="11" t="b">
        <f>D30</f>
        <v>1</v>
      </c>
      <c r="C36" s="11" t="s">
        <v>2</v>
      </c>
      <c r="D36" s="11" t="str">
        <f t="shared" si="2"/>
        <v>tab parentpanel Ctrlcolumnrow</v>
      </c>
      <c r="E36" s="27" t="s">
        <v>19</v>
      </c>
      <c r="F36" s="27" t="str">
        <f>C30</f>
        <v>column,row</v>
      </c>
    </row>
    <row r="37" spans="1:6" x14ac:dyDescent="0.25">
      <c r="A37" s="11" t="s">
        <v>11</v>
      </c>
      <c r="B37" s="11" t="b">
        <f>D10</f>
        <v>1</v>
      </c>
      <c r="C37" s="11" t="s">
        <v>2</v>
      </c>
      <c r="D37" s="11" t="str">
        <f t="shared" si="2"/>
        <v>tab parentpanel Ctrlcolumnrow</v>
      </c>
      <c r="E37" s="27" t="s">
        <v>36</v>
      </c>
      <c r="F37" s="27" t="str">
        <f>C10</f>
        <v>type</v>
      </c>
    </row>
    <row r="38" spans="1:6" x14ac:dyDescent="0.25">
      <c r="A38" s="11" t="s">
        <v>11</v>
      </c>
      <c r="B38" s="11" t="b">
        <f>D11</f>
        <v>1</v>
      </c>
      <c r="C38" s="11" t="s">
        <v>2</v>
      </c>
      <c r="D38" s="11" t="str">
        <f t="shared" si="2"/>
        <v>tab parentpanel Ctrlcolumnrow</v>
      </c>
      <c r="E38" s="27" t="s">
        <v>35</v>
      </c>
      <c r="F38" s="27" t="str">
        <f>C11</f>
        <v>style</v>
      </c>
    </row>
    <row r="39" spans="1:6" x14ac:dyDescent="0.25">
      <c r="A39" s="11" t="s">
        <v>11</v>
      </c>
      <c r="B39" s="11" t="b">
        <f>D12</f>
        <v>1</v>
      </c>
      <c r="C39" s="11" t="s">
        <v>2</v>
      </c>
      <c r="D39" s="11" t="str">
        <f t="shared" si="2"/>
        <v>tab parentpanel Ctrlcolumnrow</v>
      </c>
      <c r="E39" s="27" t="s">
        <v>43</v>
      </c>
      <c r="F39" s="27" t="str">
        <f>C12</f>
        <v>initial value</v>
      </c>
    </row>
    <row r="40" spans="1:6" x14ac:dyDescent="0.25">
      <c r="A40" s="11" t="s">
        <v>11</v>
      </c>
      <c r="B40" s="11" t="b">
        <f t="shared" ref="B40" si="3">D13</f>
        <v>1</v>
      </c>
      <c r="C40" s="11" t="s">
        <v>2</v>
      </c>
      <c r="D40" s="11" t="str">
        <f t="shared" si="2"/>
        <v>tab parentpanel Ctrlcolumnrow</v>
      </c>
      <c r="E40" s="27" t="s">
        <v>3</v>
      </c>
      <c r="F40" s="27" t="str">
        <f t="shared" ref="F40" si="4">C13</f>
        <v>size</v>
      </c>
    </row>
    <row r="41" spans="1:6" x14ac:dyDescent="0.25">
      <c r="A41" s="11" t="s">
        <v>11</v>
      </c>
      <c r="B41" s="11" t="b">
        <f>D14</f>
        <v>1</v>
      </c>
      <c r="C41" s="11" t="s">
        <v>2</v>
      </c>
      <c r="D41" s="11" t="str">
        <f t="shared" si="2"/>
        <v>tab parentpanel Ctrlcolumnrow</v>
      </c>
      <c r="E41" s="27" t="s">
        <v>37</v>
      </c>
      <c r="F41" s="27" t="str">
        <f>C14</f>
        <v>colour</v>
      </c>
    </row>
    <row r="42" spans="1:6" x14ac:dyDescent="0.25">
      <c r="A42" s="11" t="s">
        <v>11</v>
      </c>
      <c r="B42" s="11" t="b">
        <f>D15</f>
        <v>1</v>
      </c>
      <c r="C42" s="11" t="s">
        <v>2</v>
      </c>
      <c r="D42" s="11" t="str">
        <f t="shared" si="2"/>
        <v>tab parentpanel Ctrlcolumnrow</v>
      </c>
      <c r="E42" s="27" t="s">
        <v>34</v>
      </c>
      <c r="F42" s="27" t="str">
        <f>C15</f>
        <v>number</v>
      </c>
    </row>
    <row r="43" spans="1:6" x14ac:dyDescent="0.25">
      <c r="A43" s="11" t="s">
        <v>11</v>
      </c>
      <c r="B43" s="11" t="b">
        <f>D16</f>
        <v>1</v>
      </c>
      <c r="C43" s="11" t="s">
        <v>2</v>
      </c>
      <c r="D43" s="11" t="str">
        <f t="shared" si="2"/>
        <v>tab parentpanel Ctrlcolumnrow</v>
      </c>
      <c r="E43" s="11" t="s">
        <v>18</v>
      </c>
      <c r="F43" s="27" t="str">
        <f>C16</f>
        <v>name</v>
      </c>
    </row>
    <row r="44" spans="1:6" x14ac:dyDescent="0.25">
      <c r="A44" s="11" t="s">
        <v>11</v>
      </c>
      <c r="B44" s="11" t="b">
        <f>D17</f>
        <v>1</v>
      </c>
      <c r="C44" s="11" t="s">
        <v>2</v>
      </c>
      <c r="D44" s="11" t="str">
        <f t="shared" si="2"/>
        <v>tab parentpanel Ctrlcolumnrow</v>
      </c>
      <c r="E44" s="11" t="s">
        <v>17</v>
      </c>
      <c r="F44" s="27" t="str">
        <f>C17</f>
        <v>label</v>
      </c>
    </row>
    <row r="45" spans="1:6" x14ac:dyDescent="0.25">
      <c r="A45" s="11" t="s">
        <v>11</v>
      </c>
      <c r="B45" s="11" t="b">
        <f>AND(D18,D19)</f>
        <v>1</v>
      </c>
      <c r="C45" s="11" t="s">
        <v>2</v>
      </c>
      <c r="D45" s="11" t="str">
        <f t="shared" si="2"/>
        <v>tab parentpanel Ctrlcolumnrow</v>
      </c>
      <c r="E45" s="27" t="str">
        <f>C18</f>
        <v>property1</v>
      </c>
      <c r="F45" s="27" t="str">
        <f>C19</f>
        <v>value1</v>
      </c>
    </row>
    <row r="46" spans="1:6" x14ac:dyDescent="0.25">
      <c r="A46" s="11" t="s">
        <v>11</v>
      </c>
      <c r="B46" s="11" t="b">
        <f>AND(D20,D21)</f>
        <v>1</v>
      </c>
      <c r="C46" s="11" t="s">
        <v>2</v>
      </c>
      <c r="D46" s="11" t="str">
        <f t="shared" si="2"/>
        <v>tab parentpanel Ctrlcolumnrow</v>
      </c>
      <c r="E46" s="27" t="str">
        <f>C20</f>
        <v>property2</v>
      </c>
      <c r="F46" s="27" t="str">
        <f>C21</f>
        <v>value2</v>
      </c>
    </row>
    <row r="47" spans="1:6" x14ac:dyDescent="0.25">
      <c r="A47" s="11" t="s">
        <v>11</v>
      </c>
      <c r="B47" s="11" t="b">
        <f>AND(D22,D23)</f>
        <v>1</v>
      </c>
      <c r="C47" s="11" t="s">
        <v>2</v>
      </c>
      <c r="D47" s="11" t="str">
        <f t="shared" si="2"/>
        <v>tab parentpanel Ctrlcolumnrow</v>
      </c>
      <c r="E47" s="27" t="str">
        <f>C22</f>
        <v>property3</v>
      </c>
      <c r="F47" s="27" t="str">
        <f>C23</f>
        <v>value3</v>
      </c>
    </row>
    <row r="48" spans="1:6" x14ac:dyDescent="0.25">
      <c r="A48" s="11" t="s">
        <v>11</v>
      </c>
      <c r="B48" s="11" t="b">
        <f>AND(D24,D25)</f>
        <v>1</v>
      </c>
      <c r="C48" s="11" t="s">
        <v>2</v>
      </c>
      <c r="D48" s="11" t="str">
        <f t="shared" si="2"/>
        <v>tab parentpanel Ctrlcolumnrow</v>
      </c>
      <c r="E48" t="str">
        <f>C24</f>
        <v>property4</v>
      </c>
      <c r="F48" t="str">
        <f>C25</f>
        <v>value4</v>
      </c>
    </row>
    <row r="49" spans="1:6" x14ac:dyDescent="0.25">
      <c r="A49" s="11" t="s">
        <v>11</v>
      </c>
      <c r="B49" s="11" t="b">
        <f>AND(D26,D27)</f>
        <v>1</v>
      </c>
      <c r="C49" s="11" t="s">
        <v>2</v>
      </c>
      <c r="D49" s="11" t="str">
        <f t="shared" si="2"/>
        <v>tab parentpanel Ctrlcolumnrow</v>
      </c>
      <c r="E49" t="str">
        <f>C26</f>
        <v>property5</v>
      </c>
      <c r="F49" t="str">
        <f>C27</f>
        <v>value5</v>
      </c>
    </row>
    <row r="50" spans="1:6" x14ac:dyDescent="0.25">
      <c r="A50" s="11" t="s">
        <v>11</v>
      </c>
      <c r="B50" s="11" t="b">
        <f>AND(D28,D29)</f>
        <v>1</v>
      </c>
      <c r="C50" s="11" t="s">
        <v>2</v>
      </c>
      <c r="D50" s="11" t="str">
        <f t="shared" si="2"/>
        <v>tab parentpanel Ctrlcolumnrow</v>
      </c>
      <c r="E50" t="str">
        <f>C28</f>
        <v>property6</v>
      </c>
      <c r="F50" t="str">
        <f>C29</f>
        <v>value6</v>
      </c>
    </row>
    <row r="51" spans="1:6" x14ac:dyDescent="0.25">
      <c r="C51" s="11"/>
      <c r="D51" s="11"/>
      <c r="E51" s="11"/>
      <c r="F51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18"/>
  <sheetViews>
    <sheetView zoomScale="120" zoomScaleNormal="120" workbookViewId="0">
      <selection activeCell="E8" sqref="E8"/>
    </sheetView>
  </sheetViews>
  <sheetFormatPr defaultColWidth="9" defaultRowHeight="13.8" x14ac:dyDescent="0.25"/>
  <cols>
    <col min="1" max="1" width="17.69921875" bestFit="1" customWidth="1"/>
    <col min="2" max="2" width="13.19921875" bestFit="1" customWidth="1"/>
    <col min="3" max="3" width="16.09765625" bestFit="1" customWidth="1"/>
    <col min="4" max="4" width="13.09765625" bestFit="1" customWidth="1"/>
    <col min="5" max="5" width="14.5" bestFit="1" customWidth="1"/>
    <col min="6" max="6" width="10.8984375" bestFit="1" customWidth="1"/>
  </cols>
  <sheetData>
    <row r="2" spans="1:5" x14ac:dyDescent="0.25">
      <c r="A2" s="8" t="s">
        <v>6</v>
      </c>
      <c r="B2" s="8" t="s">
        <v>4</v>
      </c>
      <c r="C2" s="8" t="s">
        <v>16</v>
      </c>
    </row>
    <row r="3" spans="1:5" x14ac:dyDescent="0.25">
      <c r="A3" s="8" t="s">
        <v>28</v>
      </c>
      <c r="B3" s="8" t="s">
        <v>29</v>
      </c>
    </row>
    <row r="4" spans="1:5" x14ac:dyDescent="0.25">
      <c r="A4" t="s">
        <v>15</v>
      </c>
      <c r="B4" t="s">
        <v>2</v>
      </c>
      <c r="C4" t="s">
        <v>0</v>
      </c>
    </row>
    <row r="6" spans="1:5" x14ac:dyDescent="0.25">
      <c r="A6" s="7" t="s">
        <v>6</v>
      </c>
      <c r="B6" s="7" t="s">
        <v>4</v>
      </c>
      <c r="C6" s="7" t="s">
        <v>14</v>
      </c>
      <c r="D6" s="7" t="s">
        <v>13</v>
      </c>
      <c r="E6" s="7" t="s">
        <v>8</v>
      </c>
    </row>
    <row r="7" spans="1:5" x14ac:dyDescent="0.25">
      <c r="A7" t="s">
        <v>11</v>
      </c>
      <c r="B7" s="11" t="s">
        <v>2</v>
      </c>
      <c r="C7" t="s">
        <v>105</v>
      </c>
      <c r="D7" t="s">
        <v>106</v>
      </c>
      <c r="E7" s="11">
        <v>1380</v>
      </c>
    </row>
    <row r="8" spans="1:5" x14ac:dyDescent="0.25">
      <c r="A8" t="s">
        <v>11</v>
      </c>
      <c r="B8" s="11" t="s">
        <v>2</v>
      </c>
      <c r="C8" t="s">
        <v>105</v>
      </c>
      <c r="D8" t="s">
        <v>107</v>
      </c>
      <c r="E8" s="11">
        <v>710</v>
      </c>
    </row>
    <row r="9" spans="1:5" x14ac:dyDescent="0.25">
      <c r="A9" t="s">
        <v>11</v>
      </c>
      <c r="B9" s="11" t="s">
        <v>2</v>
      </c>
      <c r="C9" t="s">
        <v>31</v>
      </c>
      <c r="D9" t="s">
        <v>12</v>
      </c>
      <c r="E9" s="11" t="s">
        <v>113</v>
      </c>
    </row>
    <row r="10" spans="1:5" x14ac:dyDescent="0.25">
      <c r="A10" t="s">
        <v>11</v>
      </c>
      <c r="B10" s="11" t="s">
        <v>2</v>
      </c>
      <c r="C10" t="s">
        <v>31</v>
      </c>
      <c r="D10" t="s">
        <v>63</v>
      </c>
      <c r="E10" s="11" t="s">
        <v>108</v>
      </c>
    </row>
    <row r="11" spans="1:5" x14ac:dyDescent="0.25">
      <c r="A11" s="11" t="s">
        <v>11</v>
      </c>
      <c r="B11" s="11" t="s">
        <v>2</v>
      </c>
      <c r="C11" s="11" t="s">
        <v>120</v>
      </c>
      <c r="D11" s="11" t="s">
        <v>12</v>
      </c>
      <c r="E11" s="11" t="s">
        <v>111</v>
      </c>
    </row>
    <row r="12" spans="1:5" x14ac:dyDescent="0.25">
      <c r="A12" s="11" t="s">
        <v>11</v>
      </c>
      <c r="B12" s="11" t="s">
        <v>2</v>
      </c>
      <c r="C12" s="11" t="s">
        <v>111</v>
      </c>
      <c r="D12" t="s">
        <v>48</v>
      </c>
      <c r="E12" s="11" t="s">
        <v>65</v>
      </c>
    </row>
    <row r="13" spans="1:5" x14ac:dyDescent="0.25">
      <c r="A13" s="11" t="s">
        <v>11</v>
      </c>
      <c r="B13" s="11" t="s">
        <v>2</v>
      </c>
      <c r="C13" s="11" t="s">
        <v>111</v>
      </c>
      <c r="D13" t="s">
        <v>32</v>
      </c>
      <c r="E13" s="11" t="s">
        <v>68</v>
      </c>
    </row>
    <row r="14" spans="1:5" x14ac:dyDescent="0.25">
      <c r="A14" s="11" t="s">
        <v>11</v>
      </c>
      <c r="B14" s="11" t="s">
        <v>2</v>
      </c>
      <c r="C14" s="11" t="s">
        <v>111</v>
      </c>
      <c r="D14" t="s">
        <v>49</v>
      </c>
      <c r="E14" s="11" t="s">
        <v>64</v>
      </c>
    </row>
    <row r="15" spans="1:5" x14ac:dyDescent="0.25">
      <c r="A15" s="11" t="s">
        <v>11</v>
      </c>
      <c r="B15" s="11" t="s">
        <v>2</v>
      </c>
      <c r="C15" s="11" t="s">
        <v>120</v>
      </c>
      <c r="D15" s="11" t="s">
        <v>63</v>
      </c>
      <c r="E15" s="11" t="s">
        <v>112</v>
      </c>
    </row>
    <row r="16" spans="1:5" x14ac:dyDescent="0.25">
      <c r="A16" s="11" t="s">
        <v>11</v>
      </c>
      <c r="B16" s="11" t="s">
        <v>2</v>
      </c>
      <c r="C16" s="11" t="s">
        <v>112</v>
      </c>
      <c r="D16" t="s">
        <v>48</v>
      </c>
      <c r="E16" s="11" t="s">
        <v>65</v>
      </c>
    </row>
    <row r="17" spans="1:5" x14ac:dyDescent="0.25">
      <c r="A17" s="11" t="s">
        <v>11</v>
      </c>
      <c r="B17" s="11" t="s">
        <v>2</v>
      </c>
      <c r="C17" s="11" t="s">
        <v>112</v>
      </c>
      <c r="D17" t="s">
        <v>32</v>
      </c>
      <c r="E17" s="11" t="s">
        <v>68</v>
      </c>
    </row>
    <row r="18" spans="1:5" x14ac:dyDescent="0.25">
      <c r="A18" s="11" t="s">
        <v>11</v>
      </c>
      <c r="B18" s="11" t="s">
        <v>2</v>
      </c>
      <c r="C18" s="11" t="s">
        <v>112</v>
      </c>
      <c r="D18" t="s">
        <v>49</v>
      </c>
      <c r="E18" s="11" t="s">
        <v>64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31"/>
  <sheetViews>
    <sheetView tabSelected="1" topLeftCell="L1" zoomScaleNormal="100" workbookViewId="0">
      <pane ySplit="1" topLeftCell="A75" activePane="bottomLeft" state="frozen"/>
      <selection pane="bottomLeft" activeCell="P99" sqref="P99"/>
    </sheetView>
  </sheetViews>
  <sheetFormatPr defaultColWidth="9" defaultRowHeight="13.8" x14ac:dyDescent="0.25"/>
  <cols>
    <col min="1" max="1" width="11.19921875" bestFit="1" customWidth="1"/>
    <col min="2" max="2" width="8.19921875" customWidth="1"/>
    <col min="3" max="3" width="16.09765625" bestFit="1" customWidth="1"/>
    <col min="4" max="4" width="24.3984375" bestFit="1" customWidth="1"/>
    <col min="5" max="5" width="40.09765625" bestFit="1" customWidth="1"/>
    <col min="6" max="6" width="35.69921875" bestFit="1" customWidth="1"/>
    <col min="7" max="7" width="8.59765625" style="42" customWidth="1"/>
    <col min="8" max="8" width="9.3984375" style="42" customWidth="1"/>
    <col min="9" max="9" width="16.3984375" customWidth="1"/>
    <col min="10" max="10" width="21.69921875" bestFit="1" customWidth="1"/>
    <col min="11" max="11" width="17.3984375" style="25" bestFit="1" customWidth="1"/>
    <col min="12" max="12" width="10.59765625" style="28" customWidth="1"/>
    <col min="13" max="13" width="11.09765625" style="34" customWidth="1"/>
    <col min="14" max="14" width="27" style="11" customWidth="1"/>
    <col min="15" max="15" width="11.8984375" style="47" customWidth="1"/>
    <col min="16" max="16" width="158.3984375" style="39" bestFit="1" customWidth="1"/>
    <col min="17" max="17" width="13" style="11" customWidth="1"/>
    <col min="18" max="18" width="36.59765625" bestFit="1" customWidth="1"/>
    <col min="19" max="19" width="16.8984375" customWidth="1"/>
    <col min="20" max="20" width="25.69921875" customWidth="1"/>
    <col min="21" max="21" width="15.3984375" customWidth="1"/>
    <col min="22" max="22" width="10.59765625" customWidth="1"/>
    <col min="23" max="23" width="18.3984375" customWidth="1"/>
    <col min="24" max="24" width="15.5" customWidth="1"/>
    <col min="26" max="26" width="11" customWidth="1"/>
  </cols>
  <sheetData>
    <row r="1" spans="1:27" x14ac:dyDescent="0.25">
      <c r="A1" s="9" t="s">
        <v>6</v>
      </c>
      <c r="B1" s="9"/>
      <c r="C1" s="9" t="s">
        <v>30</v>
      </c>
      <c r="D1" s="9" t="s">
        <v>33</v>
      </c>
      <c r="E1" s="4" t="s">
        <v>18</v>
      </c>
      <c r="F1" s="5" t="s">
        <v>34</v>
      </c>
      <c r="G1" s="15" t="s">
        <v>46</v>
      </c>
      <c r="H1" s="15" t="s">
        <v>47</v>
      </c>
      <c r="I1" s="4" t="s">
        <v>36</v>
      </c>
      <c r="J1" s="4" t="s">
        <v>35</v>
      </c>
      <c r="K1" s="17" t="s">
        <v>43</v>
      </c>
      <c r="L1" s="16" t="s">
        <v>3</v>
      </c>
      <c r="M1" s="12" t="s">
        <v>37</v>
      </c>
      <c r="N1" s="4" t="s">
        <v>17</v>
      </c>
      <c r="O1" s="44" t="s">
        <v>20</v>
      </c>
      <c r="P1" s="38" t="s">
        <v>21</v>
      </c>
      <c r="Q1" s="38" t="s">
        <v>22</v>
      </c>
      <c r="R1" s="38" t="s">
        <v>23</v>
      </c>
      <c r="S1" s="38" t="s">
        <v>24</v>
      </c>
      <c r="T1" s="38" t="s">
        <v>25</v>
      </c>
      <c r="U1" s="38" t="s">
        <v>26</v>
      </c>
      <c r="V1" s="38" t="s">
        <v>27</v>
      </c>
      <c r="W1" s="38" t="s">
        <v>50</v>
      </c>
      <c r="X1" s="38" t="s">
        <v>51</v>
      </c>
      <c r="Y1" s="38" t="s">
        <v>52</v>
      </c>
      <c r="Z1" s="38" t="s">
        <v>53</v>
      </c>
    </row>
    <row r="2" spans="1:27" x14ac:dyDescent="0.25">
      <c r="A2" s="31" t="s">
        <v>9</v>
      </c>
      <c r="B2" s="31"/>
      <c r="C2" s="32" t="s">
        <v>111</v>
      </c>
      <c r="D2" s="18"/>
      <c r="E2" s="33" t="s">
        <v>92</v>
      </c>
      <c r="F2" s="32"/>
      <c r="G2" s="20">
        <v>0</v>
      </c>
      <c r="H2" s="20">
        <v>2</v>
      </c>
      <c r="I2" s="26"/>
      <c r="J2" s="26" t="s">
        <v>38</v>
      </c>
      <c r="K2" s="24"/>
      <c r="L2" s="21"/>
      <c r="M2" s="19"/>
      <c r="N2" s="23" t="s">
        <v>491</v>
      </c>
      <c r="O2" s="66" t="s">
        <v>32</v>
      </c>
      <c r="P2" s="33" t="s">
        <v>67</v>
      </c>
      <c r="Q2" s="33" t="s">
        <v>49</v>
      </c>
      <c r="R2" s="33" t="s">
        <v>659</v>
      </c>
      <c r="S2" s="33"/>
      <c r="T2" s="33"/>
      <c r="U2" s="33"/>
      <c r="V2" s="33"/>
      <c r="W2" s="23"/>
      <c r="X2" s="23"/>
      <c r="Y2" s="23"/>
      <c r="Z2" s="40"/>
    </row>
    <row r="3" spans="1:27" ht="14.4" x14ac:dyDescent="0.3">
      <c r="A3" s="30" t="s">
        <v>9</v>
      </c>
      <c r="B3" s="30"/>
      <c r="C3" s="11" t="s">
        <v>111</v>
      </c>
      <c r="D3" s="39" t="s">
        <v>92</v>
      </c>
      <c r="E3" t="s">
        <v>492</v>
      </c>
      <c r="F3" s="51" t="s">
        <v>73</v>
      </c>
      <c r="G3" s="39">
        <v>0</v>
      </c>
      <c r="H3" s="39">
        <v>0</v>
      </c>
      <c r="I3" s="39" t="s">
        <v>39</v>
      </c>
      <c r="J3" s="39" t="s">
        <v>69</v>
      </c>
      <c r="K3" s="25">
        <v>0</v>
      </c>
      <c r="L3" s="28" t="s">
        <v>83</v>
      </c>
      <c r="N3" t="s">
        <v>503</v>
      </c>
      <c r="O3" s="46" t="s">
        <v>62</v>
      </c>
      <c r="P3" s="42">
        <v>5</v>
      </c>
      <c r="Q3" t="s">
        <v>61</v>
      </c>
      <c r="R3" s="42">
        <v>5</v>
      </c>
      <c r="AA3" s="38"/>
    </row>
    <row r="4" spans="1:27" ht="14.4" x14ac:dyDescent="0.3">
      <c r="A4" s="30" t="s">
        <v>9</v>
      </c>
      <c r="B4" s="30"/>
      <c r="C4" s="11" t="s">
        <v>111</v>
      </c>
      <c r="D4" s="39" t="s">
        <v>92</v>
      </c>
      <c r="E4" t="s">
        <v>493</v>
      </c>
      <c r="F4" s="51" t="s">
        <v>73</v>
      </c>
      <c r="G4" s="39">
        <v>1</v>
      </c>
      <c r="H4" s="39">
        <v>0</v>
      </c>
      <c r="I4" s="39" t="s">
        <v>39</v>
      </c>
      <c r="J4" s="39" t="s">
        <v>69</v>
      </c>
      <c r="K4" s="25">
        <v>0</v>
      </c>
      <c r="L4" s="28" t="s">
        <v>83</v>
      </c>
      <c r="N4" t="s">
        <v>502</v>
      </c>
      <c r="O4" s="46" t="s">
        <v>62</v>
      </c>
      <c r="P4" s="42">
        <v>4</v>
      </c>
      <c r="Q4" t="s">
        <v>61</v>
      </c>
      <c r="R4" s="42">
        <v>4</v>
      </c>
      <c r="AA4" s="38"/>
    </row>
    <row r="5" spans="1:27" ht="14.4" x14ac:dyDescent="0.3">
      <c r="A5" s="30" t="s">
        <v>9</v>
      </c>
      <c r="B5" s="30"/>
      <c r="C5" s="11" t="s">
        <v>111</v>
      </c>
      <c r="D5" s="39" t="s">
        <v>92</v>
      </c>
      <c r="E5" t="s">
        <v>494</v>
      </c>
      <c r="F5" s="51" t="s">
        <v>73</v>
      </c>
      <c r="G5" s="39">
        <v>2</v>
      </c>
      <c r="H5" s="39">
        <v>0</v>
      </c>
      <c r="I5" s="39" t="s">
        <v>39</v>
      </c>
      <c r="J5" s="39" t="s">
        <v>69</v>
      </c>
      <c r="K5" s="25">
        <v>0</v>
      </c>
      <c r="L5" s="28" t="s">
        <v>83</v>
      </c>
      <c r="N5" s="50" t="s">
        <v>501</v>
      </c>
      <c r="O5" s="46" t="s">
        <v>62</v>
      </c>
      <c r="P5" s="42">
        <v>3</v>
      </c>
      <c r="Q5" t="s">
        <v>61</v>
      </c>
      <c r="R5" s="42">
        <v>3</v>
      </c>
      <c r="AA5" s="38"/>
    </row>
    <row r="6" spans="1:27" ht="14.4" x14ac:dyDescent="0.3">
      <c r="A6" s="30" t="s">
        <v>9</v>
      </c>
      <c r="B6" s="30"/>
      <c r="C6" s="11" t="s">
        <v>111</v>
      </c>
      <c r="D6" s="39" t="s">
        <v>92</v>
      </c>
      <c r="E6" t="s">
        <v>495</v>
      </c>
      <c r="F6" s="51" t="s">
        <v>73</v>
      </c>
      <c r="G6" s="39">
        <v>3</v>
      </c>
      <c r="H6" s="39">
        <v>0</v>
      </c>
      <c r="I6" s="39" t="s">
        <v>39</v>
      </c>
      <c r="J6" s="39" t="s">
        <v>69</v>
      </c>
      <c r="K6" s="25">
        <v>0</v>
      </c>
      <c r="L6" s="28" t="s">
        <v>83</v>
      </c>
      <c r="N6" s="50" t="s">
        <v>500</v>
      </c>
      <c r="O6" s="46" t="s">
        <v>62</v>
      </c>
      <c r="P6" s="42">
        <v>2</v>
      </c>
      <c r="Q6" t="s">
        <v>61</v>
      </c>
      <c r="R6" s="42">
        <v>2</v>
      </c>
      <c r="AA6" s="38"/>
    </row>
    <row r="7" spans="1:27" ht="14.4" x14ac:dyDescent="0.3">
      <c r="A7" s="30" t="s">
        <v>9</v>
      </c>
      <c r="B7" s="30"/>
      <c r="C7" s="11" t="s">
        <v>111</v>
      </c>
      <c r="D7" s="39" t="s">
        <v>92</v>
      </c>
      <c r="E7" t="s">
        <v>496</v>
      </c>
      <c r="F7" s="51" t="s">
        <v>73</v>
      </c>
      <c r="G7" s="39">
        <v>4</v>
      </c>
      <c r="H7" s="39">
        <v>0</v>
      </c>
      <c r="I7" s="39" t="s">
        <v>39</v>
      </c>
      <c r="J7" s="39" t="s">
        <v>69</v>
      </c>
      <c r="K7" s="25">
        <v>0</v>
      </c>
      <c r="L7" s="28" t="s">
        <v>83</v>
      </c>
      <c r="N7" s="50" t="s">
        <v>499</v>
      </c>
      <c r="O7" s="46" t="s">
        <v>62</v>
      </c>
      <c r="P7" s="42">
        <v>1</v>
      </c>
      <c r="Q7" t="s">
        <v>61</v>
      </c>
      <c r="R7" s="42">
        <v>1</v>
      </c>
      <c r="AA7" s="38"/>
    </row>
    <row r="8" spans="1:27" ht="14.4" x14ac:dyDescent="0.3">
      <c r="A8" s="30" t="s">
        <v>9</v>
      </c>
      <c r="B8" s="30"/>
      <c r="C8" s="11" t="s">
        <v>111</v>
      </c>
      <c r="D8" s="39" t="s">
        <v>92</v>
      </c>
      <c r="E8" t="s">
        <v>497</v>
      </c>
      <c r="F8" s="51" t="s">
        <v>73</v>
      </c>
      <c r="G8" s="39">
        <v>5</v>
      </c>
      <c r="H8" s="39">
        <v>0</v>
      </c>
      <c r="I8" s="39" t="s">
        <v>39</v>
      </c>
      <c r="J8" s="39" t="s">
        <v>69</v>
      </c>
      <c r="K8" s="25">
        <v>0</v>
      </c>
      <c r="L8" s="28" t="s">
        <v>83</v>
      </c>
      <c r="N8" t="s">
        <v>498</v>
      </c>
      <c r="O8" s="46" t="s">
        <v>62</v>
      </c>
      <c r="P8" s="42">
        <v>0</v>
      </c>
      <c r="Q8" t="s">
        <v>61</v>
      </c>
      <c r="R8" s="42">
        <v>0</v>
      </c>
      <c r="AA8" s="38"/>
    </row>
    <row r="9" spans="1:27" x14ac:dyDescent="0.25">
      <c r="A9" s="30"/>
      <c r="B9" s="30"/>
      <c r="C9" s="11"/>
      <c r="D9" s="39"/>
      <c r="G9" s="39"/>
      <c r="H9" s="39"/>
      <c r="J9" s="27"/>
      <c r="O9" s="46"/>
      <c r="P9" s="42"/>
      <c r="Q9"/>
      <c r="S9" s="38"/>
      <c r="Z9" s="38"/>
    </row>
    <row r="10" spans="1:27" x14ac:dyDescent="0.25">
      <c r="A10" s="31" t="s">
        <v>9</v>
      </c>
      <c r="B10" s="31"/>
      <c r="C10" s="32" t="s">
        <v>111</v>
      </c>
      <c r="D10" s="18"/>
      <c r="E10" s="33" t="s">
        <v>93</v>
      </c>
      <c r="F10" s="32"/>
      <c r="G10" s="20">
        <v>0</v>
      </c>
      <c r="H10" s="20">
        <v>3</v>
      </c>
      <c r="I10" s="26"/>
      <c r="J10" s="26" t="s">
        <v>38</v>
      </c>
      <c r="K10" s="24"/>
      <c r="L10" s="21"/>
      <c r="M10" s="19"/>
      <c r="N10" s="23" t="s">
        <v>109</v>
      </c>
      <c r="O10" s="66" t="s">
        <v>32</v>
      </c>
      <c r="P10" s="33" t="s">
        <v>658</v>
      </c>
      <c r="Q10" s="33" t="s">
        <v>49</v>
      </c>
      <c r="R10" s="33" t="s">
        <v>68</v>
      </c>
      <c r="S10" s="33"/>
      <c r="T10" s="33"/>
      <c r="U10" s="33"/>
      <c r="V10" s="33"/>
      <c r="W10" s="23"/>
      <c r="X10" s="23"/>
      <c r="Y10" s="23"/>
      <c r="Z10" s="40"/>
    </row>
    <row r="11" spans="1:27" x14ac:dyDescent="0.25">
      <c r="A11" s="30" t="s">
        <v>9</v>
      </c>
      <c r="B11" s="30"/>
      <c r="C11" s="11" t="s">
        <v>111</v>
      </c>
      <c r="D11" s="30" t="s">
        <v>93</v>
      </c>
      <c r="E11" s="39" t="s">
        <v>72</v>
      </c>
      <c r="F11" s="11"/>
      <c r="G11" s="39">
        <v>0</v>
      </c>
      <c r="H11" s="39">
        <v>0</v>
      </c>
      <c r="I11" s="27"/>
      <c r="J11" s="27" t="s">
        <v>55</v>
      </c>
      <c r="K11" s="37"/>
      <c r="L11" s="28" t="s">
        <v>81</v>
      </c>
      <c r="M11" s="35"/>
      <c r="N11" s="11" t="s">
        <v>73</v>
      </c>
      <c r="O11" s="45"/>
      <c r="Q11" s="39"/>
      <c r="R11" s="39"/>
      <c r="S11" s="39"/>
      <c r="T11" s="39"/>
      <c r="U11" s="39"/>
      <c r="V11" s="39"/>
      <c r="Z11" s="38"/>
    </row>
    <row r="12" spans="1:27" ht="14.4" x14ac:dyDescent="0.3">
      <c r="A12" s="30" t="s">
        <v>9</v>
      </c>
      <c r="B12" s="30"/>
      <c r="C12" s="11" t="s">
        <v>111</v>
      </c>
      <c r="D12" s="30" t="s">
        <v>93</v>
      </c>
      <c r="E12" t="s">
        <v>74</v>
      </c>
      <c r="F12" s="51" t="s">
        <v>73</v>
      </c>
      <c r="G12" s="39">
        <v>1</v>
      </c>
      <c r="H12" s="39">
        <v>0</v>
      </c>
      <c r="I12" s="27" t="s">
        <v>39</v>
      </c>
      <c r="J12" s="27" t="s">
        <v>56</v>
      </c>
      <c r="K12" s="37">
        <v>0</v>
      </c>
      <c r="L12" s="41" t="s">
        <v>66</v>
      </c>
      <c r="M12" s="35"/>
      <c r="N12"/>
      <c r="O12" s="46" t="s">
        <v>57</v>
      </c>
      <c r="P12" s="36" t="s">
        <v>154</v>
      </c>
      <c r="Q12" t="s">
        <v>58</v>
      </c>
      <c r="R12" s="43" t="s">
        <v>115</v>
      </c>
      <c r="S12" s="49"/>
      <c r="T12" s="43"/>
      <c r="U12" s="49"/>
      <c r="Z12" s="38"/>
    </row>
    <row r="13" spans="1:27" ht="14.4" x14ac:dyDescent="0.3">
      <c r="A13" s="30" t="s">
        <v>9</v>
      </c>
      <c r="B13" s="30"/>
      <c r="C13" s="11" t="s">
        <v>111</v>
      </c>
      <c r="D13" s="30" t="s">
        <v>93</v>
      </c>
      <c r="E13" t="s">
        <v>75</v>
      </c>
      <c r="F13" s="51" t="s">
        <v>73</v>
      </c>
      <c r="G13" s="39">
        <v>2</v>
      </c>
      <c r="H13" s="39">
        <v>0</v>
      </c>
      <c r="I13" s="27" t="s">
        <v>39</v>
      </c>
      <c r="J13" t="s">
        <v>59</v>
      </c>
      <c r="K13" s="37"/>
      <c r="L13" s="28" t="s">
        <v>71</v>
      </c>
      <c r="M13" s="35"/>
      <c r="N13"/>
      <c r="O13" s="46" t="s">
        <v>60</v>
      </c>
      <c r="P13" s="39" t="s">
        <v>114</v>
      </c>
      <c r="Q13" s="39"/>
      <c r="R13" s="39"/>
    </row>
    <row r="14" spans="1:27" ht="14.4" x14ac:dyDescent="0.3">
      <c r="A14" s="30" t="s">
        <v>9</v>
      </c>
      <c r="B14" s="30"/>
      <c r="C14" s="11" t="s">
        <v>111</v>
      </c>
      <c r="D14" s="30" t="s">
        <v>93</v>
      </c>
      <c r="E14" t="str">
        <f>SUBSTITUTE(LOWER(F14)," ","_")</f>
        <v>control_key</v>
      </c>
      <c r="F14" s="51" t="s">
        <v>116</v>
      </c>
      <c r="G14" s="39">
        <v>3</v>
      </c>
      <c r="H14" s="39">
        <v>0</v>
      </c>
      <c r="I14" s="39" t="s">
        <v>39</v>
      </c>
      <c r="J14" s="39" t="s">
        <v>54</v>
      </c>
      <c r="K14" s="25">
        <v>0</v>
      </c>
      <c r="L14" s="28" t="s">
        <v>110</v>
      </c>
      <c r="N14" t="s">
        <v>116</v>
      </c>
      <c r="O14" s="46"/>
      <c r="P14" s="42"/>
      <c r="Q14"/>
      <c r="S14" s="49"/>
      <c r="T14" s="43"/>
      <c r="U14" s="49"/>
      <c r="Z14" s="38"/>
    </row>
    <row r="15" spans="1:27" ht="14.4" x14ac:dyDescent="0.3">
      <c r="A15" s="30"/>
      <c r="B15" s="30"/>
      <c r="C15" s="11"/>
      <c r="D15" s="30"/>
      <c r="F15" s="53"/>
      <c r="G15" s="39"/>
      <c r="H15" s="39"/>
      <c r="I15" s="39"/>
      <c r="J15" s="39"/>
      <c r="N15"/>
      <c r="O15" s="46"/>
      <c r="P15" s="42"/>
      <c r="Q15"/>
      <c r="S15" s="49"/>
      <c r="T15" s="43"/>
      <c r="U15" s="49"/>
      <c r="Z15" s="38"/>
    </row>
    <row r="16" spans="1:27" x14ac:dyDescent="0.25">
      <c r="A16" s="31" t="s">
        <v>9</v>
      </c>
      <c r="B16" s="31"/>
      <c r="C16" s="32" t="s">
        <v>111</v>
      </c>
      <c r="D16" s="18"/>
      <c r="E16" s="33" t="s">
        <v>94</v>
      </c>
      <c r="F16" s="32"/>
      <c r="G16" s="20">
        <v>1</v>
      </c>
      <c r="H16" s="20">
        <v>1</v>
      </c>
      <c r="I16" s="26"/>
      <c r="J16" s="26" t="s">
        <v>38</v>
      </c>
      <c r="K16" s="24"/>
      <c r="L16" s="21"/>
      <c r="M16" s="19"/>
      <c r="N16" s="23" t="s">
        <v>82</v>
      </c>
      <c r="O16" s="66" t="s">
        <v>32</v>
      </c>
      <c r="P16" s="33" t="s">
        <v>658</v>
      </c>
      <c r="Q16" s="33" t="s">
        <v>49</v>
      </c>
      <c r="R16" s="33" t="s">
        <v>667</v>
      </c>
      <c r="S16" s="33"/>
      <c r="T16" s="33"/>
      <c r="U16" s="33"/>
      <c r="V16" s="33"/>
      <c r="W16" s="23"/>
      <c r="X16" s="23"/>
      <c r="Y16" s="23"/>
      <c r="Z16" s="40"/>
    </row>
    <row r="17" spans="1:27" ht="14.4" x14ac:dyDescent="0.3">
      <c r="A17" s="30" t="s">
        <v>9</v>
      </c>
      <c r="B17" s="30"/>
      <c r="C17" s="11" t="s">
        <v>111</v>
      </c>
      <c r="D17" s="39" t="s">
        <v>94</v>
      </c>
      <c r="E17" t="s">
        <v>85</v>
      </c>
      <c r="F17" s="51" t="s">
        <v>117</v>
      </c>
      <c r="G17" s="39">
        <v>6</v>
      </c>
      <c r="H17" s="39">
        <v>0</v>
      </c>
      <c r="I17" s="39" t="s">
        <v>39</v>
      </c>
      <c r="J17" s="39" t="s">
        <v>69</v>
      </c>
      <c r="K17" s="25">
        <v>0</v>
      </c>
      <c r="L17" s="28" t="s">
        <v>83</v>
      </c>
      <c r="N17" t="s">
        <v>91</v>
      </c>
      <c r="O17" s="46" t="s">
        <v>62</v>
      </c>
      <c r="P17" s="42">
        <v>0</v>
      </c>
      <c r="Q17" t="s">
        <v>61</v>
      </c>
      <c r="R17" s="42">
        <v>0</v>
      </c>
      <c r="AA17" s="38"/>
    </row>
    <row r="18" spans="1:27" ht="14.4" x14ac:dyDescent="0.3">
      <c r="A18" s="30" t="s">
        <v>9</v>
      </c>
      <c r="B18" s="30"/>
      <c r="C18" s="11" t="s">
        <v>111</v>
      </c>
      <c r="D18" s="39" t="s">
        <v>94</v>
      </c>
      <c r="E18" t="s">
        <v>86</v>
      </c>
      <c r="F18" s="51" t="s">
        <v>117</v>
      </c>
      <c r="G18" s="39">
        <v>5</v>
      </c>
      <c r="H18" s="39">
        <v>0</v>
      </c>
      <c r="I18" s="39" t="s">
        <v>39</v>
      </c>
      <c r="J18" s="39" t="s">
        <v>69</v>
      </c>
      <c r="K18" s="25">
        <v>0</v>
      </c>
      <c r="L18" s="28" t="s">
        <v>83</v>
      </c>
      <c r="N18" t="s">
        <v>84</v>
      </c>
      <c r="O18" s="46" t="s">
        <v>62</v>
      </c>
      <c r="P18" s="42">
        <v>1</v>
      </c>
      <c r="Q18" t="s">
        <v>61</v>
      </c>
      <c r="R18" s="42">
        <v>1</v>
      </c>
      <c r="AA18" s="38"/>
    </row>
    <row r="19" spans="1:27" ht="14.4" x14ac:dyDescent="0.3">
      <c r="A19" s="30" t="s">
        <v>9</v>
      </c>
      <c r="B19" s="30"/>
      <c r="C19" s="11" t="s">
        <v>111</v>
      </c>
      <c r="D19" s="39" t="s">
        <v>94</v>
      </c>
      <c r="E19" t="s">
        <v>87</v>
      </c>
      <c r="F19" s="51" t="s">
        <v>117</v>
      </c>
      <c r="G19" s="39">
        <v>4</v>
      </c>
      <c r="H19" s="39">
        <v>0</v>
      </c>
      <c r="I19" s="39" t="s">
        <v>39</v>
      </c>
      <c r="J19" s="39" t="s">
        <v>69</v>
      </c>
      <c r="K19" s="25">
        <v>0</v>
      </c>
      <c r="L19" s="28" t="s">
        <v>83</v>
      </c>
      <c r="N19" s="50">
        <v>0.25</v>
      </c>
      <c r="O19" s="46" t="s">
        <v>62</v>
      </c>
      <c r="P19" s="42">
        <v>25</v>
      </c>
      <c r="Q19" t="s">
        <v>61</v>
      </c>
      <c r="R19" s="42">
        <v>25</v>
      </c>
      <c r="AA19" s="38"/>
    </row>
    <row r="20" spans="1:27" ht="14.4" x14ac:dyDescent="0.3">
      <c r="A20" s="30" t="s">
        <v>9</v>
      </c>
      <c r="B20" s="30"/>
      <c r="C20" s="11" t="s">
        <v>111</v>
      </c>
      <c r="D20" s="39" t="s">
        <v>94</v>
      </c>
      <c r="E20" t="s">
        <v>88</v>
      </c>
      <c r="F20" s="51" t="s">
        <v>117</v>
      </c>
      <c r="G20" s="39">
        <v>3</v>
      </c>
      <c r="H20" s="39">
        <v>0</v>
      </c>
      <c r="I20" s="39" t="s">
        <v>39</v>
      </c>
      <c r="J20" s="39" t="s">
        <v>69</v>
      </c>
      <c r="K20" s="25">
        <v>0</v>
      </c>
      <c r="L20" s="28" t="s">
        <v>83</v>
      </c>
      <c r="N20" s="50">
        <v>0.5</v>
      </c>
      <c r="O20" s="46" t="s">
        <v>62</v>
      </c>
      <c r="P20" s="42">
        <v>50</v>
      </c>
      <c r="Q20" t="s">
        <v>61</v>
      </c>
      <c r="R20" s="42">
        <v>50</v>
      </c>
      <c r="AA20" s="38"/>
    </row>
    <row r="21" spans="1:27" ht="14.4" x14ac:dyDescent="0.3">
      <c r="A21" s="30" t="s">
        <v>9</v>
      </c>
      <c r="B21" s="30"/>
      <c r="C21" s="11" t="s">
        <v>111</v>
      </c>
      <c r="D21" s="39" t="s">
        <v>94</v>
      </c>
      <c r="E21" t="s">
        <v>89</v>
      </c>
      <c r="F21" s="51" t="s">
        <v>117</v>
      </c>
      <c r="G21" s="39">
        <v>2</v>
      </c>
      <c r="H21" s="39">
        <v>0</v>
      </c>
      <c r="I21" s="39" t="s">
        <v>39</v>
      </c>
      <c r="J21" s="39" t="s">
        <v>69</v>
      </c>
      <c r="K21" s="25">
        <v>0</v>
      </c>
      <c r="L21" s="28" t="s">
        <v>83</v>
      </c>
      <c r="N21" s="50">
        <v>0.75</v>
      </c>
      <c r="O21" s="46" t="s">
        <v>62</v>
      </c>
      <c r="P21" s="42">
        <v>75</v>
      </c>
      <c r="Q21" t="s">
        <v>61</v>
      </c>
      <c r="R21" s="42">
        <v>75</v>
      </c>
      <c r="AA21" s="38"/>
    </row>
    <row r="22" spans="1:27" ht="14.4" x14ac:dyDescent="0.3">
      <c r="A22" s="30" t="s">
        <v>9</v>
      </c>
      <c r="B22" s="30"/>
      <c r="C22" s="11" t="s">
        <v>111</v>
      </c>
      <c r="D22" s="39" t="s">
        <v>94</v>
      </c>
      <c r="E22" t="s">
        <v>90</v>
      </c>
      <c r="F22" s="51" t="s">
        <v>117</v>
      </c>
      <c r="G22" s="39">
        <v>1</v>
      </c>
      <c r="H22" s="39">
        <v>0</v>
      </c>
      <c r="I22" s="39" t="s">
        <v>39</v>
      </c>
      <c r="J22" s="39" t="s">
        <v>69</v>
      </c>
      <c r="K22" s="25">
        <v>0</v>
      </c>
      <c r="L22" s="28" t="s">
        <v>83</v>
      </c>
      <c r="N22" t="s">
        <v>104</v>
      </c>
      <c r="O22" s="46" t="s">
        <v>62</v>
      </c>
      <c r="P22" s="42">
        <v>100</v>
      </c>
      <c r="Q22" t="s">
        <v>61</v>
      </c>
      <c r="R22" s="42">
        <v>100</v>
      </c>
      <c r="AA22" s="38"/>
    </row>
    <row r="23" spans="1:27" x14ac:dyDescent="0.25">
      <c r="A23" s="30"/>
      <c r="B23" s="30"/>
      <c r="C23" s="11"/>
      <c r="D23" s="39"/>
      <c r="G23" s="39"/>
      <c r="H23" s="39"/>
      <c r="J23" s="27"/>
      <c r="O23" s="46"/>
      <c r="P23" s="42"/>
      <c r="Q23"/>
      <c r="S23" s="38"/>
      <c r="Z23" s="38"/>
    </row>
    <row r="24" spans="1:27" x14ac:dyDescent="0.25">
      <c r="A24" s="31" t="s">
        <v>9</v>
      </c>
      <c r="B24" s="31"/>
      <c r="C24" s="32" t="s">
        <v>111</v>
      </c>
      <c r="D24" s="18"/>
      <c r="E24" s="33" t="s">
        <v>504</v>
      </c>
      <c r="F24" s="32"/>
      <c r="G24" s="20">
        <v>1</v>
      </c>
      <c r="H24" s="20">
        <v>2</v>
      </c>
      <c r="I24" s="26"/>
      <c r="J24" s="26" t="s">
        <v>38</v>
      </c>
      <c r="K24" s="24"/>
      <c r="L24" s="21"/>
      <c r="M24" s="19"/>
      <c r="N24" s="23" t="s">
        <v>102</v>
      </c>
      <c r="O24" s="66" t="s">
        <v>32</v>
      </c>
      <c r="P24" s="33" t="s">
        <v>658</v>
      </c>
      <c r="Q24" s="33" t="s">
        <v>49</v>
      </c>
      <c r="R24" s="33" t="s">
        <v>669</v>
      </c>
      <c r="S24" s="33"/>
      <c r="T24" s="33"/>
      <c r="U24" s="33"/>
      <c r="V24" s="33"/>
      <c r="W24" s="23"/>
      <c r="X24" s="23"/>
      <c r="Y24" s="23"/>
      <c r="Z24" s="40"/>
    </row>
    <row r="25" spans="1:27" ht="16.8" x14ac:dyDescent="0.25">
      <c r="A25" s="30" t="s">
        <v>9</v>
      </c>
      <c r="B25" s="30"/>
      <c r="C25" s="11" t="s">
        <v>111</v>
      </c>
      <c r="D25" s="39" t="s">
        <v>504</v>
      </c>
      <c r="E25" t="s">
        <v>76</v>
      </c>
      <c r="G25" s="39">
        <v>0</v>
      </c>
      <c r="H25" s="39">
        <v>0</v>
      </c>
      <c r="J25" s="27" t="s">
        <v>55</v>
      </c>
      <c r="L25" s="28" t="s">
        <v>81</v>
      </c>
      <c r="N25" s="11" t="s">
        <v>121</v>
      </c>
      <c r="O25" s="46"/>
      <c r="P25" s="42"/>
      <c r="Q25"/>
      <c r="S25" s="38"/>
      <c r="T25" s="48"/>
      <c r="Z25" s="38"/>
    </row>
    <row r="26" spans="1:27" ht="14.4" x14ac:dyDescent="0.3">
      <c r="A26" s="30" t="s">
        <v>9</v>
      </c>
      <c r="B26" s="30"/>
      <c r="C26" s="11" t="s">
        <v>111</v>
      </c>
      <c r="D26" s="39" t="s">
        <v>504</v>
      </c>
      <c r="E26" t="s">
        <v>77</v>
      </c>
      <c r="F26" s="51" t="s">
        <v>117</v>
      </c>
      <c r="G26" s="39">
        <v>1</v>
      </c>
      <c r="H26" s="39">
        <v>0</v>
      </c>
      <c r="I26" s="27" t="s">
        <v>39</v>
      </c>
      <c r="J26" s="27" t="s">
        <v>56</v>
      </c>
      <c r="K26" s="37">
        <v>0</v>
      </c>
      <c r="L26" s="41" t="s">
        <v>66</v>
      </c>
      <c r="M26" s="35"/>
      <c r="N26"/>
      <c r="O26" s="46" t="s">
        <v>57</v>
      </c>
      <c r="P26" s="36" t="s">
        <v>78</v>
      </c>
      <c r="Q26" t="s">
        <v>58</v>
      </c>
      <c r="R26" s="43" t="s">
        <v>79</v>
      </c>
      <c r="Z26" s="38"/>
    </row>
    <row r="27" spans="1:27" ht="14.4" x14ac:dyDescent="0.3">
      <c r="A27" s="30" t="s">
        <v>9</v>
      </c>
      <c r="B27" s="30"/>
      <c r="C27" s="11" t="s">
        <v>111</v>
      </c>
      <c r="D27" s="39" t="s">
        <v>504</v>
      </c>
      <c r="E27" t="s">
        <v>70</v>
      </c>
      <c r="F27" s="51" t="s">
        <v>117</v>
      </c>
      <c r="G27" s="39">
        <v>2</v>
      </c>
      <c r="H27" s="39">
        <v>0</v>
      </c>
      <c r="I27" s="27" t="s">
        <v>39</v>
      </c>
      <c r="J27" t="s">
        <v>59</v>
      </c>
      <c r="K27" s="37"/>
      <c r="L27" s="29" t="s">
        <v>71</v>
      </c>
      <c r="M27" s="35"/>
      <c r="N27"/>
      <c r="O27" s="46" t="s">
        <v>60</v>
      </c>
      <c r="P27" s="42" t="s">
        <v>80</v>
      </c>
      <c r="Q27"/>
      <c r="S27" s="38"/>
      <c r="Z27" s="38"/>
    </row>
    <row r="28" spans="1:27" ht="14.4" x14ac:dyDescent="0.3">
      <c r="A28" s="30" t="s">
        <v>9</v>
      </c>
      <c r="B28" s="30"/>
      <c r="C28" s="11" t="s">
        <v>111</v>
      </c>
      <c r="D28" s="39" t="s">
        <v>504</v>
      </c>
      <c r="E28" t="s">
        <v>119</v>
      </c>
      <c r="F28" s="51" t="s">
        <v>118</v>
      </c>
      <c r="G28" s="39">
        <v>3</v>
      </c>
      <c r="H28" s="39">
        <v>0</v>
      </c>
      <c r="I28" s="39" t="s">
        <v>39</v>
      </c>
      <c r="J28" s="39" t="s">
        <v>54</v>
      </c>
      <c r="K28" s="25">
        <v>0</v>
      </c>
      <c r="L28" s="28" t="s">
        <v>110</v>
      </c>
      <c r="N28" t="s">
        <v>122</v>
      </c>
      <c r="O28" s="46"/>
      <c r="P28" s="42"/>
      <c r="Q28"/>
      <c r="S28" s="49"/>
      <c r="T28" s="43"/>
      <c r="U28" s="49"/>
      <c r="Z28" s="38"/>
    </row>
    <row r="29" spans="1:27" ht="14.4" x14ac:dyDescent="0.3">
      <c r="A29" s="30"/>
      <c r="B29" s="30"/>
      <c r="C29" s="11"/>
      <c r="D29" s="39"/>
      <c r="F29" s="53"/>
      <c r="G29" s="39"/>
      <c r="H29" s="22"/>
      <c r="I29" s="39"/>
      <c r="J29" s="39"/>
      <c r="N29"/>
      <c r="O29" s="46"/>
      <c r="P29" s="42"/>
      <c r="Q29"/>
      <c r="R29" s="42"/>
      <c r="Z29" s="38"/>
    </row>
    <row r="30" spans="1:27" x14ac:dyDescent="0.25">
      <c r="A30" s="31" t="s">
        <v>9</v>
      </c>
      <c r="B30" s="31"/>
      <c r="C30" s="32" t="s">
        <v>111</v>
      </c>
      <c r="D30" s="18"/>
      <c r="E30" s="33" t="s">
        <v>505</v>
      </c>
      <c r="F30" s="32"/>
      <c r="G30" s="20">
        <v>1</v>
      </c>
      <c r="H30" s="20">
        <v>3</v>
      </c>
      <c r="I30" s="26"/>
      <c r="J30" s="26" t="s">
        <v>38</v>
      </c>
      <c r="K30" s="24"/>
      <c r="L30" s="21"/>
      <c r="M30" s="19"/>
      <c r="N30" s="23" t="s">
        <v>95</v>
      </c>
      <c r="O30" s="66" t="s">
        <v>32</v>
      </c>
      <c r="P30" s="33" t="s">
        <v>658</v>
      </c>
      <c r="Q30" s="33" t="s">
        <v>49</v>
      </c>
      <c r="R30" s="33" t="s">
        <v>667</v>
      </c>
      <c r="S30" s="33"/>
      <c r="T30" s="33"/>
      <c r="U30" s="33"/>
      <c r="V30" s="33"/>
      <c r="W30" s="23"/>
      <c r="X30" s="23"/>
      <c r="Y30" s="23"/>
      <c r="Z30" s="40"/>
    </row>
    <row r="31" spans="1:27" ht="14.4" x14ac:dyDescent="0.3">
      <c r="A31" s="30" t="s">
        <v>9</v>
      </c>
      <c r="B31" s="30"/>
      <c r="C31" s="11" t="s">
        <v>111</v>
      </c>
      <c r="D31" s="39" t="s">
        <v>505</v>
      </c>
      <c r="E31" t="s">
        <v>96</v>
      </c>
      <c r="F31" s="51" t="s">
        <v>117</v>
      </c>
      <c r="G31" s="39">
        <v>1</v>
      </c>
      <c r="H31" s="39">
        <v>0</v>
      </c>
      <c r="I31" s="39" t="s">
        <v>39</v>
      </c>
      <c r="J31" s="39" t="s">
        <v>69</v>
      </c>
      <c r="K31" s="25">
        <v>0</v>
      </c>
      <c r="L31" s="28" t="s">
        <v>83</v>
      </c>
      <c r="N31" t="s">
        <v>84</v>
      </c>
      <c r="O31" s="46" t="s">
        <v>62</v>
      </c>
      <c r="P31" s="36">
        <v>-1</v>
      </c>
      <c r="Q31" t="s">
        <v>61</v>
      </c>
      <c r="R31" s="42">
        <v>-1</v>
      </c>
      <c r="AA31" s="38"/>
    </row>
    <row r="32" spans="1:27" ht="14.4" x14ac:dyDescent="0.3">
      <c r="A32" s="30" t="s">
        <v>9</v>
      </c>
      <c r="B32" s="30"/>
      <c r="C32" s="11" t="s">
        <v>111</v>
      </c>
      <c r="D32" s="39" t="s">
        <v>505</v>
      </c>
      <c r="E32" t="s">
        <v>97</v>
      </c>
      <c r="F32" s="51" t="s">
        <v>117</v>
      </c>
      <c r="G32" s="39">
        <v>2</v>
      </c>
      <c r="H32" s="39">
        <v>0</v>
      </c>
      <c r="I32" s="39" t="s">
        <v>39</v>
      </c>
      <c r="J32" s="39" t="s">
        <v>69</v>
      </c>
      <c r="K32" s="25">
        <v>0</v>
      </c>
      <c r="L32" s="28" t="s">
        <v>83</v>
      </c>
      <c r="N32" s="50">
        <v>0.25</v>
      </c>
      <c r="O32" s="46" t="s">
        <v>62</v>
      </c>
      <c r="P32" s="36">
        <v>-25</v>
      </c>
      <c r="Q32" t="s">
        <v>61</v>
      </c>
      <c r="R32" s="42">
        <v>-25</v>
      </c>
      <c r="AA32" s="38"/>
    </row>
    <row r="33" spans="1:27" ht="14.4" x14ac:dyDescent="0.3">
      <c r="A33" s="30" t="s">
        <v>9</v>
      </c>
      <c r="B33" s="30"/>
      <c r="C33" s="11" t="s">
        <v>111</v>
      </c>
      <c r="D33" s="39" t="s">
        <v>505</v>
      </c>
      <c r="E33" t="s">
        <v>98</v>
      </c>
      <c r="F33" s="51" t="s">
        <v>117</v>
      </c>
      <c r="G33" s="39">
        <v>3</v>
      </c>
      <c r="H33" s="39">
        <v>0</v>
      </c>
      <c r="I33" s="39" t="s">
        <v>39</v>
      </c>
      <c r="J33" s="39" t="s">
        <v>69</v>
      </c>
      <c r="K33" s="25">
        <v>0</v>
      </c>
      <c r="L33" s="28" t="s">
        <v>83</v>
      </c>
      <c r="N33" s="50">
        <v>0.5</v>
      </c>
      <c r="O33" s="46" t="s">
        <v>62</v>
      </c>
      <c r="P33" s="36">
        <v>-50</v>
      </c>
      <c r="Q33" t="s">
        <v>61</v>
      </c>
      <c r="R33" s="42">
        <v>-50</v>
      </c>
      <c r="AA33" s="38"/>
    </row>
    <row r="34" spans="1:27" ht="14.4" x14ac:dyDescent="0.3">
      <c r="A34" s="30" t="s">
        <v>9</v>
      </c>
      <c r="B34" s="30"/>
      <c r="C34" s="11" t="s">
        <v>111</v>
      </c>
      <c r="D34" s="39" t="s">
        <v>505</v>
      </c>
      <c r="E34" t="s">
        <v>99</v>
      </c>
      <c r="F34" s="51" t="s">
        <v>117</v>
      </c>
      <c r="G34" s="39">
        <v>4</v>
      </c>
      <c r="H34" s="39">
        <v>0</v>
      </c>
      <c r="I34" s="39" t="s">
        <v>39</v>
      </c>
      <c r="J34" s="39" t="s">
        <v>69</v>
      </c>
      <c r="K34" s="25">
        <v>0</v>
      </c>
      <c r="L34" s="28" t="s">
        <v>83</v>
      </c>
      <c r="N34" s="50">
        <v>0.75</v>
      </c>
      <c r="O34" s="46" t="s">
        <v>62</v>
      </c>
      <c r="P34" s="36">
        <v>-75</v>
      </c>
      <c r="Q34" t="s">
        <v>61</v>
      </c>
      <c r="R34" s="42">
        <v>-75</v>
      </c>
      <c r="AA34" s="38"/>
    </row>
    <row r="35" spans="1:27" ht="14.4" x14ac:dyDescent="0.3">
      <c r="A35" s="30" t="s">
        <v>9</v>
      </c>
      <c r="B35" s="30"/>
      <c r="C35" s="11" t="s">
        <v>111</v>
      </c>
      <c r="D35" s="39" t="s">
        <v>505</v>
      </c>
      <c r="E35" t="s">
        <v>100</v>
      </c>
      <c r="F35" s="51" t="s">
        <v>117</v>
      </c>
      <c r="G35" s="39">
        <v>5</v>
      </c>
      <c r="H35" s="39">
        <v>0</v>
      </c>
      <c r="I35" s="39" t="s">
        <v>39</v>
      </c>
      <c r="J35" s="39" t="s">
        <v>69</v>
      </c>
      <c r="K35" s="25">
        <v>0</v>
      </c>
      <c r="L35" s="28" t="s">
        <v>83</v>
      </c>
      <c r="N35" t="s">
        <v>104</v>
      </c>
      <c r="O35" s="46" t="s">
        <v>62</v>
      </c>
      <c r="P35" s="36">
        <v>-100</v>
      </c>
      <c r="Q35" t="s">
        <v>61</v>
      </c>
      <c r="R35" s="42">
        <v>-100</v>
      </c>
      <c r="AA35" s="38"/>
    </row>
    <row r="36" spans="1:27" ht="14.4" x14ac:dyDescent="0.3">
      <c r="A36" s="30" t="s">
        <v>9</v>
      </c>
      <c r="B36" s="30"/>
      <c r="C36" s="11" t="s">
        <v>111</v>
      </c>
      <c r="D36" s="39" t="s">
        <v>505</v>
      </c>
      <c r="E36" t="s">
        <v>101</v>
      </c>
      <c r="F36" s="51" t="s">
        <v>117</v>
      </c>
      <c r="G36" s="39">
        <v>6</v>
      </c>
      <c r="H36" s="39">
        <v>0</v>
      </c>
      <c r="I36" s="39" t="s">
        <v>39</v>
      </c>
      <c r="J36" s="39" t="s">
        <v>69</v>
      </c>
      <c r="K36" s="25">
        <v>0</v>
      </c>
      <c r="L36" s="28" t="s">
        <v>83</v>
      </c>
      <c r="N36" t="s">
        <v>103</v>
      </c>
      <c r="O36" s="46" t="s">
        <v>62</v>
      </c>
      <c r="P36" s="36">
        <v>-101</v>
      </c>
      <c r="Q36" t="s">
        <v>61</v>
      </c>
      <c r="R36" s="42">
        <v>-101</v>
      </c>
      <c r="AA36" s="38"/>
    </row>
    <row r="37" spans="1:27" x14ac:dyDescent="0.25">
      <c r="A37" s="30"/>
      <c r="B37" s="30"/>
      <c r="C37" s="11"/>
      <c r="D37" s="30"/>
      <c r="F37" s="11"/>
      <c r="G37" s="39"/>
      <c r="H37" s="39"/>
      <c r="I37" s="27"/>
      <c r="K37" s="37"/>
      <c r="L37" s="29"/>
      <c r="M37" s="35"/>
      <c r="N37"/>
      <c r="O37" s="46"/>
      <c r="P37" s="42"/>
      <c r="Q37"/>
      <c r="S37" s="38"/>
      <c r="Z37" s="38"/>
    </row>
    <row r="38" spans="1:27" x14ac:dyDescent="0.25">
      <c r="A38" s="31" t="s">
        <v>9</v>
      </c>
      <c r="B38" s="31"/>
      <c r="C38" s="32" t="s">
        <v>111</v>
      </c>
      <c r="D38" s="18"/>
      <c r="E38" s="33" t="s">
        <v>676</v>
      </c>
      <c r="F38" s="32"/>
      <c r="G38" s="20">
        <v>2</v>
      </c>
      <c r="H38" s="20">
        <v>1</v>
      </c>
      <c r="I38" s="26"/>
      <c r="J38" s="26" t="s">
        <v>38</v>
      </c>
      <c r="K38" s="24"/>
      <c r="L38" s="21"/>
      <c r="M38" s="19"/>
      <c r="N38" s="23" t="s">
        <v>685</v>
      </c>
      <c r="O38" s="66" t="s">
        <v>32</v>
      </c>
      <c r="P38" s="33" t="s">
        <v>658</v>
      </c>
      <c r="Q38" s="33" t="s">
        <v>49</v>
      </c>
      <c r="R38" s="33" t="s">
        <v>659</v>
      </c>
      <c r="S38" s="33"/>
      <c r="T38" s="33"/>
      <c r="U38" s="33"/>
      <c r="V38" s="33"/>
      <c r="W38" s="23"/>
      <c r="X38" s="23"/>
      <c r="Y38" s="23"/>
      <c r="Z38" s="40"/>
    </row>
    <row r="40" spans="1:27" s="52" customFormat="1" ht="14.4" x14ac:dyDescent="0.3">
      <c r="A40" s="30" t="s">
        <v>9</v>
      </c>
      <c r="B40" s="30"/>
      <c r="C40" s="54" t="s">
        <v>111</v>
      </c>
      <c r="D40" s="55" t="s">
        <v>676</v>
      </c>
      <c r="E40" s="52" t="s">
        <v>171</v>
      </c>
      <c r="F40" s="51" t="s">
        <v>137</v>
      </c>
      <c r="G40" s="55">
        <v>0</v>
      </c>
      <c r="H40" s="22">
        <v>0</v>
      </c>
      <c r="I40" s="55" t="s">
        <v>123</v>
      </c>
      <c r="J40" s="55" t="s">
        <v>124</v>
      </c>
      <c r="K40" s="56">
        <v>0</v>
      </c>
      <c r="L40" s="57" t="s">
        <v>125</v>
      </c>
      <c r="M40" s="58" t="s">
        <v>126</v>
      </c>
      <c r="O40" s="59" t="s">
        <v>62</v>
      </c>
      <c r="P40" s="22">
        <v>0</v>
      </c>
      <c r="Q40" s="52" t="s">
        <v>61</v>
      </c>
      <c r="R40" s="22">
        <v>1</v>
      </c>
      <c r="Z40" s="60"/>
    </row>
    <row r="41" spans="1:27" s="52" customFormat="1" ht="14.4" x14ac:dyDescent="0.3">
      <c r="A41" s="30" t="s">
        <v>9</v>
      </c>
      <c r="B41" s="30"/>
      <c r="C41" s="54" t="s">
        <v>111</v>
      </c>
      <c r="D41" s="55" t="s">
        <v>676</v>
      </c>
      <c r="E41" s="52" t="s">
        <v>128</v>
      </c>
      <c r="F41" s="51" t="s">
        <v>127</v>
      </c>
      <c r="G41" s="55">
        <v>0</v>
      </c>
      <c r="H41" s="22">
        <v>1</v>
      </c>
      <c r="I41" s="55" t="s">
        <v>39</v>
      </c>
      <c r="J41" s="55" t="s">
        <v>69</v>
      </c>
      <c r="K41" s="56">
        <v>0</v>
      </c>
      <c r="L41" s="57" t="s">
        <v>110</v>
      </c>
      <c r="M41" s="58"/>
      <c r="N41" s="52" t="s">
        <v>127</v>
      </c>
      <c r="O41" s="59" t="s">
        <v>62</v>
      </c>
      <c r="P41" s="22">
        <v>0</v>
      </c>
      <c r="Q41" s="52" t="s">
        <v>61</v>
      </c>
      <c r="R41" s="22">
        <v>1</v>
      </c>
      <c r="Z41" s="60"/>
    </row>
    <row r="42" spans="1:27" s="52" customFormat="1" ht="14.4" x14ac:dyDescent="0.3">
      <c r="A42" s="30" t="s">
        <v>9</v>
      </c>
      <c r="B42" s="30"/>
      <c r="C42" s="54" t="s">
        <v>111</v>
      </c>
      <c r="D42" s="55" t="s">
        <v>676</v>
      </c>
      <c r="E42" s="52" t="s">
        <v>141</v>
      </c>
      <c r="F42" s="51" t="s">
        <v>138</v>
      </c>
      <c r="G42" s="55">
        <v>1</v>
      </c>
      <c r="H42" s="22">
        <v>0</v>
      </c>
      <c r="I42" s="55" t="s">
        <v>123</v>
      </c>
      <c r="J42" s="55" t="s">
        <v>124</v>
      </c>
      <c r="K42" s="56">
        <v>0</v>
      </c>
      <c r="L42" s="57" t="s">
        <v>125</v>
      </c>
      <c r="M42" s="58" t="s">
        <v>126</v>
      </c>
      <c r="O42" s="59" t="s">
        <v>62</v>
      </c>
      <c r="P42" s="22">
        <v>0</v>
      </c>
      <c r="Q42" s="52" t="s">
        <v>61</v>
      </c>
      <c r="R42" s="22">
        <v>1</v>
      </c>
      <c r="Z42" s="60"/>
    </row>
    <row r="43" spans="1:27" s="52" customFormat="1" ht="14.4" x14ac:dyDescent="0.3">
      <c r="A43" s="30" t="s">
        <v>9</v>
      </c>
      <c r="B43" s="30"/>
      <c r="C43" s="54" t="s">
        <v>111</v>
      </c>
      <c r="D43" s="55" t="s">
        <v>676</v>
      </c>
      <c r="E43" s="52" t="s">
        <v>140</v>
      </c>
      <c r="F43" s="51" t="s">
        <v>139</v>
      </c>
      <c r="G43" s="55">
        <v>1</v>
      </c>
      <c r="H43" s="22">
        <v>1</v>
      </c>
      <c r="I43" s="55" t="s">
        <v>39</v>
      </c>
      <c r="J43" s="55" t="s">
        <v>69</v>
      </c>
      <c r="K43" s="56">
        <v>0</v>
      </c>
      <c r="L43" s="57" t="s">
        <v>110</v>
      </c>
      <c r="M43" s="58"/>
      <c r="N43" s="52" t="s">
        <v>660</v>
      </c>
      <c r="O43" s="59" t="s">
        <v>62</v>
      </c>
      <c r="P43" s="22">
        <v>0</v>
      </c>
      <c r="Q43" s="52" t="s">
        <v>61</v>
      </c>
      <c r="R43" s="22">
        <v>1</v>
      </c>
      <c r="Z43" s="60"/>
    </row>
    <row r="44" spans="1:27" s="52" customFormat="1" ht="14.4" x14ac:dyDescent="0.3">
      <c r="A44" s="30" t="s">
        <v>9</v>
      </c>
      <c r="B44" s="30"/>
      <c r="C44" s="54" t="s">
        <v>111</v>
      </c>
      <c r="D44" s="55" t="s">
        <v>676</v>
      </c>
      <c r="E44" s="52" t="s">
        <v>149</v>
      </c>
      <c r="F44" s="51" t="s">
        <v>147</v>
      </c>
      <c r="G44" s="55">
        <v>2</v>
      </c>
      <c r="H44" s="22">
        <v>0</v>
      </c>
      <c r="I44" s="55" t="s">
        <v>123</v>
      </c>
      <c r="J44" s="55" t="s">
        <v>124</v>
      </c>
      <c r="K44" s="56">
        <v>0</v>
      </c>
      <c r="L44" s="57" t="s">
        <v>125</v>
      </c>
      <c r="M44" s="58" t="s">
        <v>126</v>
      </c>
      <c r="O44" s="59" t="s">
        <v>62</v>
      </c>
      <c r="P44" s="22">
        <v>0</v>
      </c>
      <c r="Q44" s="52" t="s">
        <v>61</v>
      </c>
      <c r="R44" s="22">
        <v>1</v>
      </c>
      <c r="Z44" s="60"/>
    </row>
    <row r="45" spans="1:27" s="52" customFormat="1" ht="14.4" x14ac:dyDescent="0.3">
      <c r="A45" s="30" t="s">
        <v>9</v>
      </c>
      <c r="B45" s="30"/>
      <c r="C45" s="54" t="s">
        <v>111</v>
      </c>
      <c r="D45" s="55" t="s">
        <v>676</v>
      </c>
      <c r="E45" s="52" t="s">
        <v>148</v>
      </c>
      <c r="F45" s="51" t="s">
        <v>146</v>
      </c>
      <c r="G45" s="55">
        <v>2</v>
      </c>
      <c r="H45" s="22">
        <v>1</v>
      </c>
      <c r="I45" s="55" t="s">
        <v>39</v>
      </c>
      <c r="J45" s="55" t="s">
        <v>69</v>
      </c>
      <c r="K45" s="56">
        <v>0</v>
      </c>
      <c r="L45" s="57" t="s">
        <v>110</v>
      </c>
      <c r="M45" s="58"/>
      <c r="N45" s="52" t="s">
        <v>661</v>
      </c>
      <c r="O45" s="59" t="s">
        <v>62</v>
      </c>
      <c r="P45" s="22">
        <v>0</v>
      </c>
      <c r="Q45" s="52" t="s">
        <v>61</v>
      </c>
      <c r="R45" s="22">
        <v>1</v>
      </c>
      <c r="Z45" s="60"/>
    </row>
    <row r="46" spans="1:27" s="52" customFormat="1" ht="14.4" x14ac:dyDescent="0.3">
      <c r="A46" s="30" t="s">
        <v>9</v>
      </c>
      <c r="B46" s="30"/>
      <c r="C46" s="54" t="s">
        <v>111</v>
      </c>
      <c r="D46" s="55" t="s">
        <v>676</v>
      </c>
      <c r="E46" s="52" t="s">
        <v>163</v>
      </c>
      <c r="F46" s="51" t="s">
        <v>155</v>
      </c>
      <c r="G46" s="55">
        <v>3</v>
      </c>
      <c r="H46" s="22">
        <v>0</v>
      </c>
      <c r="I46" s="55" t="s">
        <v>123</v>
      </c>
      <c r="J46" s="55" t="s">
        <v>124</v>
      </c>
      <c r="K46" s="56">
        <v>0</v>
      </c>
      <c r="L46" s="57" t="s">
        <v>125</v>
      </c>
      <c r="M46" s="58" t="s">
        <v>126</v>
      </c>
      <c r="O46" s="59" t="s">
        <v>62</v>
      </c>
      <c r="P46" s="22">
        <v>0</v>
      </c>
      <c r="Q46" s="52" t="s">
        <v>61</v>
      </c>
      <c r="R46" s="22">
        <v>1</v>
      </c>
      <c r="Z46" s="60"/>
    </row>
    <row r="47" spans="1:27" s="52" customFormat="1" ht="14.4" x14ac:dyDescent="0.3">
      <c r="A47" s="30" t="s">
        <v>9</v>
      </c>
      <c r="B47" s="30"/>
      <c r="C47" s="54" t="s">
        <v>111</v>
      </c>
      <c r="D47" s="55" t="s">
        <v>676</v>
      </c>
      <c r="E47" s="52" t="s">
        <v>164</v>
      </c>
      <c r="F47" s="51" t="s">
        <v>156</v>
      </c>
      <c r="G47" s="55">
        <v>3</v>
      </c>
      <c r="H47" s="22">
        <v>1</v>
      </c>
      <c r="I47" s="55" t="s">
        <v>39</v>
      </c>
      <c r="J47" s="55" t="s">
        <v>54</v>
      </c>
      <c r="K47" s="56">
        <v>0</v>
      </c>
      <c r="L47" s="57" t="s">
        <v>110</v>
      </c>
      <c r="M47" s="58"/>
      <c r="N47" s="52" t="s">
        <v>155</v>
      </c>
      <c r="O47" s="59" t="s">
        <v>62</v>
      </c>
      <c r="P47" s="22">
        <v>0</v>
      </c>
      <c r="Q47" s="52" t="s">
        <v>61</v>
      </c>
      <c r="R47" s="22">
        <v>1</v>
      </c>
      <c r="Z47" s="60"/>
    </row>
    <row r="48" spans="1:27" s="52" customFormat="1" ht="14.4" x14ac:dyDescent="0.3">
      <c r="A48" s="30" t="s">
        <v>9</v>
      </c>
      <c r="B48" s="30"/>
      <c r="C48" s="54" t="s">
        <v>111</v>
      </c>
      <c r="D48" s="55" t="s">
        <v>676</v>
      </c>
      <c r="E48" s="52" t="s">
        <v>167</v>
      </c>
      <c r="F48" s="51" t="s">
        <v>159</v>
      </c>
      <c r="G48" s="55">
        <v>4</v>
      </c>
      <c r="H48" s="22">
        <v>0</v>
      </c>
      <c r="I48" s="55" t="s">
        <v>123</v>
      </c>
      <c r="J48" s="55" t="s">
        <v>124</v>
      </c>
      <c r="K48" s="56">
        <v>0</v>
      </c>
      <c r="L48" s="57" t="s">
        <v>125</v>
      </c>
      <c r="M48" s="58" t="s">
        <v>126</v>
      </c>
      <c r="O48" s="59" t="s">
        <v>62</v>
      </c>
      <c r="P48" s="22">
        <v>0</v>
      </c>
      <c r="Q48" s="52" t="s">
        <v>61</v>
      </c>
      <c r="R48" s="22">
        <v>1</v>
      </c>
      <c r="Z48" s="60"/>
    </row>
    <row r="49" spans="1:26" s="52" customFormat="1" ht="14.4" x14ac:dyDescent="0.3">
      <c r="A49" s="30" t="s">
        <v>9</v>
      </c>
      <c r="B49" s="30"/>
      <c r="C49" s="54" t="s">
        <v>111</v>
      </c>
      <c r="D49" s="55" t="s">
        <v>676</v>
      </c>
      <c r="E49" s="52" t="s">
        <v>168</v>
      </c>
      <c r="F49" s="51" t="s">
        <v>160</v>
      </c>
      <c r="G49" s="55">
        <v>4</v>
      </c>
      <c r="H49" s="22">
        <v>1</v>
      </c>
      <c r="I49" s="55" t="s">
        <v>39</v>
      </c>
      <c r="J49" s="55" t="s">
        <v>69</v>
      </c>
      <c r="K49" s="56">
        <v>0</v>
      </c>
      <c r="L49" s="57" t="s">
        <v>110</v>
      </c>
      <c r="M49" s="58"/>
      <c r="N49" s="52" t="s">
        <v>174</v>
      </c>
      <c r="O49" s="59" t="s">
        <v>62</v>
      </c>
      <c r="P49" s="22">
        <v>0</v>
      </c>
      <c r="Q49" s="52" t="s">
        <v>61</v>
      </c>
      <c r="R49" s="22">
        <v>1</v>
      </c>
      <c r="Z49" s="60"/>
    </row>
    <row r="50" spans="1:26" ht="14.4" x14ac:dyDescent="0.3">
      <c r="A50" s="30"/>
      <c r="B50" s="30"/>
      <c r="C50" s="11"/>
      <c r="D50" s="39"/>
      <c r="F50" s="51"/>
      <c r="G50" s="39"/>
      <c r="H50" s="22"/>
      <c r="I50" s="39"/>
      <c r="J50" s="39"/>
      <c r="O50" s="46"/>
      <c r="P50" s="42"/>
      <c r="Q50"/>
      <c r="R50" s="42"/>
      <c r="Z50" s="38"/>
    </row>
    <row r="51" spans="1:26" ht="14.4" x14ac:dyDescent="0.3">
      <c r="A51" s="30"/>
      <c r="B51" s="30"/>
      <c r="C51" s="11"/>
      <c r="D51" s="39"/>
      <c r="F51" s="51"/>
      <c r="G51" s="39"/>
      <c r="H51" s="22"/>
      <c r="I51" s="39"/>
      <c r="J51" s="39"/>
      <c r="O51" s="46"/>
      <c r="P51" s="42"/>
      <c r="Q51"/>
      <c r="R51" s="42"/>
      <c r="Z51" s="38"/>
    </row>
    <row r="52" spans="1:26" x14ac:dyDescent="0.25">
      <c r="A52" s="31" t="s">
        <v>9</v>
      </c>
      <c r="B52" s="31"/>
      <c r="C52" s="32" t="s">
        <v>111</v>
      </c>
      <c r="D52" s="18"/>
      <c r="E52" s="33" t="s">
        <v>677</v>
      </c>
      <c r="F52" s="32"/>
      <c r="G52" s="20">
        <v>2</v>
      </c>
      <c r="H52" s="20">
        <v>2</v>
      </c>
      <c r="I52" s="26"/>
      <c r="J52" s="26" t="s">
        <v>38</v>
      </c>
      <c r="K52" s="24"/>
      <c r="L52" s="21"/>
      <c r="M52" s="19"/>
      <c r="N52" s="23" t="s">
        <v>686</v>
      </c>
      <c r="O52" s="66" t="s">
        <v>32</v>
      </c>
      <c r="P52" s="33" t="s">
        <v>658</v>
      </c>
      <c r="Q52" s="33" t="s">
        <v>49</v>
      </c>
      <c r="R52" s="33" t="s">
        <v>659</v>
      </c>
      <c r="S52" s="33"/>
      <c r="T52" s="33"/>
      <c r="U52" s="33"/>
      <c r="V52" s="33"/>
      <c r="W52" s="23"/>
      <c r="X52" s="23"/>
      <c r="Y52" s="23"/>
      <c r="Z52" s="40"/>
    </row>
    <row r="54" spans="1:26" s="52" customFormat="1" ht="14.4" x14ac:dyDescent="0.3">
      <c r="A54" s="30" t="s">
        <v>9</v>
      </c>
      <c r="B54" s="30"/>
      <c r="C54" s="54" t="s">
        <v>111</v>
      </c>
      <c r="D54" s="55" t="s">
        <v>677</v>
      </c>
      <c r="E54" s="52" t="s">
        <v>132</v>
      </c>
      <c r="F54" s="51" t="s">
        <v>130</v>
      </c>
      <c r="G54" s="55">
        <v>0</v>
      </c>
      <c r="H54" s="22">
        <v>0</v>
      </c>
      <c r="I54" s="55" t="s">
        <v>123</v>
      </c>
      <c r="J54" s="55" t="s">
        <v>124</v>
      </c>
      <c r="K54" s="56">
        <v>0</v>
      </c>
      <c r="L54" s="57" t="s">
        <v>125</v>
      </c>
      <c r="M54" s="58" t="s">
        <v>126</v>
      </c>
      <c r="O54" s="59" t="s">
        <v>62</v>
      </c>
      <c r="P54" s="22">
        <v>0</v>
      </c>
      <c r="Q54" s="52" t="s">
        <v>61</v>
      </c>
      <c r="R54" s="22">
        <v>1</v>
      </c>
      <c r="Z54" s="60"/>
    </row>
    <row r="55" spans="1:26" s="52" customFormat="1" ht="14.4" x14ac:dyDescent="0.3">
      <c r="A55" s="30" t="s">
        <v>9</v>
      </c>
      <c r="B55" s="30"/>
      <c r="C55" s="54" t="s">
        <v>111</v>
      </c>
      <c r="D55" s="55" t="s">
        <v>677</v>
      </c>
      <c r="E55" s="52" t="s">
        <v>131</v>
      </c>
      <c r="F55" s="51" t="s">
        <v>129</v>
      </c>
      <c r="G55" s="55">
        <v>0</v>
      </c>
      <c r="H55" s="22">
        <v>1</v>
      </c>
      <c r="I55" s="55" t="s">
        <v>39</v>
      </c>
      <c r="J55" s="55" t="s">
        <v>54</v>
      </c>
      <c r="K55" s="56">
        <v>0</v>
      </c>
      <c r="L55" s="57" t="s">
        <v>110</v>
      </c>
      <c r="M55" s="58"/>
      <c r="N55" s="52" t="s">
        <v>130</v>
      </c>
      <c r="O55" s="59" t="s">
        <v>62</v>
      </c>
      <c r="P55" s="22">
        <v>0</v>
      </c>
      <c r="Q55" s="52" t="s">
        <v>61</v>
      </c>
      <c r="R55" s="22">
        <v>1</v>
      </c>
      <c r="Z55" s="60"/>
    </row>
    <row r="56" spans="1:26" s="52" customFormat="1" ht="14.4" x14ac:dyDescent="0.3">
      <c r="A56" s="30" t="s">
        <v>9</v>
      </c>
      <c r="B56" s="30"/>
      <c r="C56" s="54" t="s">
        <v>111</v>
      </c>
      <c r="D56" s="55" t="s">
        <v>677</v>
      </c>
      <c r="E56" s="52" t="s">
        <v>145</v>
      </c>
      <c r="F56" s="51" t="s">
        <v>143</v>
      </c>
      <c r="G56" s="55">
        <v>1</v>
      </c>
      <c r="H56" s="22">
        <v>0</v>
      </c>
      <c r="I56" s="55" t="s">
        <v>123</v>
      </c>
      <c r="J56" s="55" t="s">
        <v>124</v>
      </c>
      <c r="K56" s="56">
        <v>0</v>
      </c>
      <c r="L56" s="57" t="s">
        <v>125</v>
      </c>
      <c r="M56" s="58" t="s">
        <v>126</v>
      </c>
      <c r="O56" s="59" t="s">
        <v>62</v>
      </c>
      <c r="P56" s="22">
        <v>0</v>
      </c>
      <c r="Q56" s="52" t="s">
        <v>61</v>
      </c>
      <c r="R56" s="22">
        <v>1</v>
      </c>
      <c r="Z56" s="60"/>
    </row>
    <row r="57" spans="1:26" s="52" customFormat="1" ht="14.4" x14ac:dyDescent="0.3">
      <c r="A57" s="30" t="s">
        <v>9</v>
      </c>
      <c r="B57" s="30"/>
      <c r="C57" s="54" t="s">
        <v>111</v>
      </c>
      <c r="D57" s="55" t="s">
        <v>677</v>
      </c>
      <c r="E57" s="52" t="s">
        <v>144</v>
      </c>
      <c r="F57" s="51" t="s">
        <v>142</v>
      </c>
      <c r="G57" s="55">
        <v>1</v>
      </c>
      <c r="H57" s="22">
        <v>1</v>
      </c>
      <c r="I57" s="55" t="s">
        <v>39</v>
      </c>
      <c r="J57" s="55" t="s">
        <v>69</v>
      </c>
      <c r="K57" s="56">
        <v>0</v>
      </c>
      <c r="L57" s="57" t="s">
        <v>110</v>
      </c>
      <c r="M57" s="58"/>
      <c r="N57" s="52" t="s">
        <v>662</v>
      </c>
      <c r="O57" s="59" t="s">
        <v>62</v>
      </c>
      <c r="P57" s="22">
        <v>0</v>
      </c>
      <c r="Q57" s="52" t="s">
        <v>61</v>
      </c>
      <c r="R57" s="22">
        <v>1</v>
      </c>
      <c r="Z57" s="60"/>
    </row>
    <row r="58" spans="1:26" s="52" customFormat="1" ht="14.4" x14ac:dyDescent="0.3">
      <c r="A58" s="30" t="s">
        <v>9</v>
      </c>
      <c r="B58" s="30"/>
      <c r="C58" s="54" t="s">
        <v>111</v>
      </c>
      <c r="D58" s="55" t="s">
        <v>677</v>
      </c>
      <c r="E58" s="52" t="s">
        <v>150</v>
      </c>
      <c r="F58" s="51" t="s">
        <v>152</v>
      </c>
      <c r="G58" s="55">
        <v>2</v>
      </c>
      <c r="H58" s="22">
        <v>0</v>
      </c>
      <c r="I58" s="55" t="s">
        <v>123</v>
      </c>
      <c r="J58" s="55" t="s">
        <v>124</v>
      </c>
      <c r="K58" s="56">
        <v>0</v>
      </c>
      <c r="L58" s="57" t="s">
        <v>125</v>
      </c>
      <c r="M58" s="58" t="s">
        <v>126</v>
      </c>
      <c r="O58" s="59" t="s">
        <v>62</v>
      </c>
      <c r="P58" s="22">
        <v>0</v>
      </c>
      <c r="Q58" s="52" t="s">
        <v>61</v>
      </c>
      <c r="R58" s="22">
        <v>1</v>
      </c>
      <c r="Z58" s="60"/>
    </row>
    <row r="59" spans="1:26" s="52" customFormat="1" ht="14.4" x14ac:dyDescent="0.3">
      <c r="A59" s="30" t="s">
        <v>9</v>
      </c>
      <c r="B59" s="30"/>
      <c r="C59" s="54" t="s">
        <v>111</v>
      </c>
      <c r="D59" s="55" t="s">
        <v>677</v>
      </c>
      <c r="E59" s="52" t="s">
        <v>151</v>
      </c>
      <c r="F59" s="51" t="s">
        <v>153</v>
      </c>
      <c r="G59" s="55">
        <v>2</v>
      </c>
      <c r="H59" s="22">
        <v>1</v>
      </c>
      <c r="I59" s="55" t="s">
        <v>39</v>
      </c>
      <c r="J59" s="55" t="s">
        <v>69</v>
      </c>
      <c r="K59" s="56">
        <v>0</v>
      </c>
      <c r="L59" s="57" t="s">
        <v>110</v>
      </c>
      <c r="M59" s="58"/>
      <c r="N59" s="52" t="s">
        <v>663</v>
      </c>
      <c r="O59" s="59" t="s">
        <v>62</v>
      </c>
      <c r="P59" s="22">
        <v>0</v>
      </c>
      <c r="Q59" s="52" t="s">
        <v>61</v>
      </c>
      <c r="R59" s="22">
        <v>1</v>
      </c>
      <c r="Z59" s="60"/>
    </row>
    <row r="60" spans="1:26" s="52" customFormat="1" ht="14.4" x14ac:dyDescent="0.3">
      <c r="A60" s="30" t="s">
        <v>9</v>
      </c>
      <c r="B60" s="30"/>
      <c r="C60" s="54" t="s">
        <v>111</v>
      </c>
      <c r="D60" s="55" t="s">
        <v>677</v>
      </c>
      <c r="E60" s="52" t="s">
        <v>165</v>
      </c>
      <c r="F60" s="51" t="s">
        <v>157</v>
      </c>
      <c r="G60" s="55">
        <v>3</v>
      </c>
      <c r="H60" s="22">
        <v>0</v>
      </c>
      <c r="I60" s="55" t="s">
        <v>123</v>
      </c>
      <c r="J60" s="55" t="s">
        <v>124</v>
      </c>
      <c r="K60" s="56">
        <v>0</v>
      </c>
      <c r="L60" s="57" t="s">
        <v>125</v>
      </c>
      <c r="M60" s="58" t="s">
        <v>126</v>
      </c>
      <c r="O60" s="59" t="s">
        <v>62</v>
      </c>
      <c r="P60" s="22">
        <v>0</v>
      </c>
      <c r="Q60" s="52" t="s">
        <v>61</v>
      </c>
      <c r="R60" s="22">
        <v>1</v>
      </c>
      <c r="Z60" s="60"/>
    </row>
    <row r="61" spans="1:26" s="52" customFormat="1" ht="14.4" x14ac:dyDescent="0.3">
      <c r="A61" s="30" t="s">
        <v>9</v>
      </c>
      <c r="B61" s="30"/>
      <c r="C61" s="54" t="s">
        <v>111</v>
      </c>
      <c r="D61" s="55" t="s">
        <v>677</v>
      </c>
      <c r="E61" s="52" t="s">
        <v>166</v>
      </c>
      <c r="F61" s="51" t="s">
        <v>158</v>
      </c>
      <c r="G61" s="55">
        <v>3</v>
      </c>
      <c r="H61" s="22">
        <v>1</v>
      </c>
      <c r="I61" s="55" t="s">
        <v>39</v>
      </c>
      <c r="J61" s="55" t="s">
        <v>69</v>
      </c>
      <c r="K61" s="56">
        <v>0</v>
      </c>
      <c r="L61" s="57" t="s">
        <v>110</v>
      </c>
      <c r="M61" s="58"/>
      <c r="N61" s="52" t="s">
        <v>173</v>
      </c>
      <c r="O61" s="59" t="s">
        <v>62</v>
      </c>
      <c r="P61" s="22">
        <v>0</v>
      </c>
      <c r="Q61" s="52" t="s">
        <v>61</v>
      </c>
      <c r="R61" s="22">
        <v>1</v>
      </c>
      <c r="Z61" s="60"/>
    </row>
    <row r="62" spans="1:26" s="52" customFormat="1" ht="14.4" x14ac:dyDescent="0.3">
      <c r="A62" s="30" t="s">
        <v>9</v>
      </c>
      <c r="B62" s="30"/>
      <c r="C62" s="54" t="s">
        <v>111</v>
      </c>
      <c r="D62" s="55" t="s">
        <v>677</v>
      </c>
      <c r="E62" s="52" t="s">
        <v>169</v>
      </c>
      <c r="F62" s="51" t="s">
        <v>161</v>
      </c>
      <c r="G62" s="55">
        <v>4</v>
      </c>
      <c r="H62" s="22">
        <v>0</v>
      </c>
      <c r="I62" s="55" t="s">
        <v>123</v>
      </c>
      <c r="J62" s="55" t="s">
        <v>124</v>
      </c>
      <c r="K62" s="56">
        <v>0</v>
      </c>
      <c r="L62" s="57" t="s">
        <v>125</v>
      </c>
      <c r="M62" s="58" t="s">
        <v>126</v>
      </c>
      <c r="O62" s="59" t="s">
        <v>62</v>
      </c>
      <c r="P62" s="22">
        <v>0</v>
      </c>
      <c r="Q62" s="52" t="s">
        <v>61</v>
      </c>
      <c r="R62" s="22">
        <v>1</v>
      </c>
      <c r="Z62" s="60"/>
    </row>
    <row r="63" spans="1:26" s="52" customFormat="1" ht="14.4" x14ac:dyDescent="0.3">
      <c r="A63" s="30" t="s">
        <v>9</v>
      </c>
      <c r="B63" s="30"/>
      <c r="C63" s="54" t="s">
        <v>111</v>
      </c>
      <c r="D63" s="55" t="s">
        <v>677</v>
      </c>
      <c r="E63" s="52" t="s">
        <v>170</v>
      </c>
      <c r="F63" s="51" t="s">
        <v>162</v>
      </c>
      <c r="G63" s="55">
        <v>4</v>
      </c>
      <c r="H63" s="22">
        <v>1</v>
      </c>
      <c r="I63" s="55" t="s">
        <v>39</v>
      </c>
      <c r="J63" s="55" t="s">
        <v>69</v>
      </c>
      <c r="K63" s="56">
        <v>0</v>
      </c>
      <c r="L63" s="57" t="s">
        <v>110</v>
      </c>
      <c r="M63" s="58"/>
      <c r="N63" s="52" t="s">
        <v>664</v>
      </c>
      <c r="O63" s="59" t="s">
        <v>62</v>
      </c>
      <c r="P63" s="22">
        <v>0</v>
      </c>
      <c r="Q63" s="52" t="s">
        <v>61</v>
      </c>
      <c r="R63" s="22">
        <v>1</v>
      </c>
      <c r="Z63" s="60"/>
    </row>
    <row r="64" spans="1:26" ht="14.4" x14ac:dyDescent="0.3">
      <c r="A64" s="30"/>
      <c r="B64" s="30"/>
      <c r="C64" s="11"/>
      <c r="D64" s="39"/>
      <c r="F64" s="51"/>
      <c r="G64" s="39"/>
      <c r="H64" s="22"/>
      <c r="I64" s="39"/>
      <c r="J64" s="39"/>
      <c r="O64" s="46"/>
      <c r="P64" s="42"/>
      <c r="Q64"/>
      <c r="R64" s="42"/>
      <c r="Z64" s="38"/>
    </row>
    <row r="65" spans="1:26" ht="14.4" x14ac:dyDescent="0.3">
      <c r="A65" s="30"/>
      <c r="B65" s="30"/>
      <c r="C65" s="11"/>
      <c r="D65" s="39"/>
      <c r="F65" s="51"/>
      <c r="G65" s="39"/>
      <c r="H65" s="22"/>
      <c r="I65" s="39"/>
      <c r="J65" s="39"/>
      <c r="O65" s="46"/>
      <c r="P65" s="42"/>
      <c r="Q65"/>
      <c r="R65" s="42"/>
      <c r="Z65" s="38"/>
    </row>
    <row r="66" spans="1:26" x14ac:dyDescent="0.25">
      <c r="A66" s="31" t="s">
        <v>9</v>
      </c>
      <c r="B66" s="31"/>
      <c r="C66" s="32" t="s">
        <v>111</v>
      </c>
      <c r="D66" s="18"/>
      <c r="E66" s="33" t="s">
        <v>678</v>
      </c>
      <c r="F66" s="32"/>
      <c r="G66" s="20">
        <v>2</v>
      </c>
      <c r="H66" s="20">
        <v>3</v>
      </c>
      <c r="I66" s="26"/>
      <c r="J66" s="26" t="s">
        <v>38</v>
      </c>
      <c r="K66" s="24"/>
      <c r="L66" s="21"/>
      <c r="M66" s="19"/>
      <c r="N66" s="23" t="s">
        <v>687</v>
      </c>
      <c r="O66" s="66" t="s">
        <v>32</v>
      </c>
      <c r="P66" s="33" t="s">
        <v>658</v>
      </c>
      <c r="Q66" s="33" t="s">
        <v>49</v>
      </c>
      <c r="R66" s="33" t="s">
        <v>659</v>
      </c>
      <c r="S66" s="33"/>
      <c r="T66" s="33"/>
      <c r="U66" s="33"/>
      <c r="V66" s="33"/>
      <c r="W66" s="23"/>
      <c r="X66" s="23"/>
      <c r="Y66" s="23"/>
      <c r="Z66" s="40"/>
    </row>
    <row r="68" spans="1:26" s="52" customFormat="1" ht="14.4" x14ac:dyDescent="0.3">
      <c r="A68" s="30" t="s">
        <v>9</v>
      </c>
      <c r="B68" s="30"/>
      <c r="C68" s="54" t="s">
        <v>111</v>
      </c>
      <c r="D68" s="55" t="s">
        <v>678</v>
      </c>
      <c r="E68" s="52" t="s">
        <v>133</v>
      </c>
      <c r="F68" s="51" t="s">
        <v>134</v>
      </c>
      <c r="G68" s="55">
        <v>0</v>
      </c>
      <c r="H68" s="22">
        <v>0</v>
      </c>
      <c r="I68" s="55" t="s">
        <v>39</v>
      </c>
      <c r="J68" s="55" t="s">
        <v>54</v>
      </c>
      <c r="K68" s="56">
        <v>0</v>
      </c>
      <c r="L68" s="57" t="s">
        <v>110</v>
      </c>
      <c r="M68" s="58"/>
      <c r="N68" s="52" t="s">
        <v>135</v>
      </c>
      <c r="O68" s="59" t="s">
        <v>62</v>
      </c>
      <c r="P68" s="22">
        <v>0</v>
      </c>
      <c r="Q68" s="52" t="s">
        <v>61</v>
      </c>
      <c r="R68" s="22">
        <v>1</v>
      </c>
      <c r="Z68" s="60"/>
    </row>
    <row r="69" spans="1:26" s="52" customFormat="1" ht="14.4" x14ac:dyDescent="0.3">
      <c r="A69" s="30" t="s">
        <v>9</v>
      </c>
      <c r="B69" s="30"/>
      <c r="C69" s="54" t="s">
        <v>111</v>
      </c>
      <c r="D69" s="55" t="s">
        <v>678</v>
      </c>
      <c r="E69" s="52" t="s">
        <v>694</v>
      </c>
      <c r="F69" s="51" t="s">
        <v>136</v>
      </c>
      <c r="G69" s="55">
        <v>1</v>
      </c>
      <c r="H69" s="22">
        <v>0</v>
      </c>
      <c r="I69" s="55" t="s">
        <v>39</v>
      </c>
      <c r="J69" s="55" t="s">
        <v>54</v>
      </c>
      <c r="K69" s="56">
        <v>0</v>
      </c>
      <c r="L69" s="57" t="s">
        <v>110</v>
      </c>
      <c r="M69" s="58"/>
      <c r="N69" s="52" t="s">
        <v>176</v>
      </c>
      <c r="O69" s="59" t="s">
        <v>62</v>
      </c>
      <c r="P69" s="22">
        <v>0</v>
      </c>
      <c r="Q69" s="52" t="s">
        <v>61</v>
      </c>
      <c r="R69" s="22">
        <v>1</v>
      </c>
      <c r="Z69" s="60"/>
    </row>
    <row r="70" spans="1:26" ht="14.4" x14ac:dyDescent="0.3">
      <c r="A70" s="30"/>
      <c r="B70" s="30"/>
      <c r="C70" s="11"/>
      <c r="D70" s="39"/>
      <c r="F70" s="51"/>
      <c r="G70" s="39"/>
      <c r="H70" s="22"/>
      <c r="I70" s="39"/>
      <c r="J70" s="39"/>
      <c r="O70" s="46"/>
      <c r="P70" s="42"/>
      <c r="Q70"/>
      <c r="R70" s="42"/>
      <c r="Z70" s="38"/>
    </row>
    <row r="71" spans="1:26" ht="14.4" x14ac:dyDescent="0.3">
      <c r="A71" s="30"/>
      <c r="B71" s="30"/>
      <c r="C71" s="11"/>
      <c r="D71" s="39"/>
      <c r="F71" s="51"/>
      <c r="G71" s="39"/>
      <c r="H71" s="22"/>
      <c r="I71" s="39"/>
      <c r="J71" s="39"/>
      <c r="O71" s="46"/>
      <c r="P71" s="42"/>
      <c r="Q71"/>
      <c r="R71" s="42"/>
      <c r="Z71" s="38"/>
    </row>
    <row r="72" spans="1:26" x14ac:dyDescent="0.25">
      <c r="A72" s="31" t="s">
        <v>9</v>
      </c>
      <c r="B72" s="31"/>
      <c r="C72" s="32" t="s">
        <v>111</v>
      </c>
      <c r="D72" s="18"/>
      <c r="E72" s="33" t="s">
        <v>674</v>
      </c>
      <c r="F72" s="32"/>
      <c r="G72" s="20">
        <v>0</v>
      </c>
      <c r="H72" s="20">
        <v>1</v>
      </c>
      <c r="I72" s="26"/>
      <c r="J72" s="26" t="s">
        <v>38</v>
      </c>
      <c r="K72" s="24"/>
      <c r="L72" s="21"/>
      <c r="M72" s="19"/>
      <c r="N72" s="23" t="s">
        <v>675</v>
      </c>
      <c r="O72" s="66" t="s">
        <v>32</v>
      </c>
      <c r="P72" s="33" t="s">
        <v>666</v>
      </c>
      <c r="Q72" s="33" t="s">
        <v>49</v>
      </c>
      <c r="R72" s="33" t="s">
        <v>665</v>
      </c>
      <c r="S72" s="33"/>
      <c r="T72" s="33"/>
      <c r="U72" s="33"/>
      <c r="V72" s="33"/>
      <c r="W72" s="23"/>
      <c r="X72" s="23"/>
      <c r="Y72" s="23"/>
      <c r="Z72" s="40"/>
    </row>
    <row r="74" spans="1:26" s="52" customFormat="1" ht="14.4" x14ac:dyDescent="0.3">
      <c r="A74" s="30" t="s">
        <v>9</v>
      </c>
      <c r="B74" s="30"/>
      <c r="C74" s="54" t="s">
        <v>111</v>
      </c>
      <c r="D74" s="55" t="s">
        <v>674</v>
      </c>
      <c r="E74" s="52" t="s">
        <v>180</v>
      </c>
      <c r="F74" s="51" t="s">
        <v>178</v>
      </c>
      <c r="G74" s="55">
        <v>0</v>
      </c>
      <c r="H74" s="22">
        <v>0</v>
      </c>
      <c r="I74" s="55" t="s">
        <v>123</v>
      </c>
      <c r="J74" s="55" t="s">
        <v>124</v>
      </c>
      <c r="K74" s="56">
        <v>0</v>
      </c>
      <c r="L74" s="57" t="s">
        <v>125</v>
      </c>
      <c r="M74" s="58" t="s">
        <v>126</v>
      </c>
      <c r="O74" s="59" t="s">
        <v>62</v>
      </c>
      <c r="P74" s="22">
        <v>0</v>
      </c>
      <c r="Q74" s="52" t="s">
        <v>61</v>
      </c>
      <c r="R74" s="22">
        <v>1</v>
      </c>
      <c r="Z74" s="60"/>
    </row>
    <row r="75" spans="1:26" s="52" customFormat="1" ht="14.4" x14ac:dyDescent="0.3">
      <c r="A75" s="30" t="s">
        <v>9</v>
      </c>
      <c r="B75" s="30"/>
      <c r="C75" s="54" t="s">
        <v>111</v>
      </c>
      <c r="D75" s="55" t="s">
        <v>674</v>
      </c>
      <c r="E75" s="52" t="s">
        <v>179</v>
      </c>
      <c r="F75" s="51" t="s">
        <v>177</v>
      </c>
      <c r="G75" s="55">
        <v>0</v>
      </c>
      <c r="H75" s="22">
        <v>1</v>
      </c>
      <c r="I75" s="55" t="s">
        <v>39</v>
      </c>
      <c r="J75" s="55" t="s">
        <v>69</v>
      </c>
      <c r="K75" s="56">
        <v>0</v>
      </c>
      <c r="L75" s="57" t="s">
        <v>506</v>
      </c>
      <c r="M75" s="58"/>
      <c r="N75" s="52" t="s">
        <v>177</v>
      </c>
      <c r="O75" s="59" t="s">
        <v>62</v>
      </c>
      <c r="P75" s="22">
        <v>0</v>
      </c>
      <c r="Q75" s="52" t="s">
        <v>61</v>
      </c>
      <c r="R75" s="22">
        <v>1</v>
      </c>
      <c r="Z75" s="60"/>
    </row>
    <row r="76" spans="1:26" s="52" customFormat="1" ht="14.4" x14ac:dyDescent="0.3">
      <c r="A76" s="30" t="s">
        <v>9</v>
      </c>
      <c r="B76" s="30"/>
      <c r="C76" s="54" t="s">
        <v>111</v>
      </c>
      <c r="D76" s="55" t="s">
        <v>674</v>
      </c>
      <c r="E76" s="52" t="s">
        <v>184</v>
      </c>
      <c r="F76" s="51" t="s">
        <v>182</v>
      </c>
      <c r="G76" s="55">
        <v>1</v>
      </c>
      <c r="H76" s="22">
        <v>0</v>
      </c>
      <c r="I76" s="55" t="s">
        <v>123</v>
      </c>
      <c r="J76" s="55" t="s">
        <v>124</v>
      </c>
      <c r="K76" s="56">
        <v>0</v>
      </c>
      <c r="L76" s="57" t="s">
        <v>125</v>
      </c>
      <c r="M76" s="58" t="s">
        <v>126</v>
      </c>
      <c r="O76" s="59" t="s">
        <v>62</v>
      </c>
      <c r="P76" s="22">
        <v>0</v>
      </c>
      <c r="Q76" s="52" t="s">
        <v>61</v>
      </c>
      <c r="R76" s="22">
        <v>1</v>
      </c>
      <c r="Z76" s="60"/>
    </row>
    <row r="77" spans="1:26" s="52" customFormat="1" ht="14.4" x14ac:dyDescent="0.3">
      <c r="A77" s="30" t="s">
        <v>9</v>
      </c>
      <c r="B77" s="30"/>
      <c r="C77" s="54" t="s">
        <v>111</v>
      </c>
      <c r="D77" s="55" t="s">
        <v>674</v>
      </c>
      <c r="E77" s="52" t="s">
        <v>183</v>
      </c>
      <c r="F77" s="51" t="s">
        <v>181</v>
      </c>
      <c r="G77" s="55">
        <v>1</v>
      </c>
      <c r="H77" s="22">
        <v>1</v>
      </c>
      <c r="I77" s="55" t="s">
        <v>39</v>
      </c>
      <c r="J77" s="55" t="s">
        <v>69</v>
      </c>
      <c r="K77" s="56">
        <v>0</v>
      </c>
      <c r="L77" s="57" t="s">
        <v>506</v>
      </c>
      <c r="M77" s="58"/>
      <c r="N77" s="52" t="s">
        <v>181</v>
      </c>
      <c r="O77" s="59" t="s">
        <v>62</v>
      </c>
      <c r="P77" s="22">
        <v>0</v>
      </c>
      <c r="Q77" s="52" t="s">
        <v>61</v>
      </c>
      <c r="R77" s="22">
        <v>1</v>
      </c>
      <c r="Z77" s="60"/>
    </row>
    <row r="78" spans="1:26" s="52" customFormat="1" ht="14.4" x14ac:dyDescent="0.3">
      <c r="A78" s="30" t="s">
        <v>9</v>
      </c>
      <c r="B78" s="30"/>
      <c r="C78" s="54" t="s">
        <v>111</v>
      </c>
      <c r="D78" s="55" t="s">
        <v>674</v>
      </c>
      <c r="E78" s="52" t="s">
        <v>188</v>
      </c>
      <c r="F78" s="51" t="s">
        <v>186</v>
      </c>
      <c r="G78" s="55">
        <v>2</v>
      </c>
      <c r="H78" s="22">
        <v>0</v>
      </c>
      <c r="I78" s="55" t="s">
        <v>123</v>
      </c>
      <c r="J78" s="55" t="s">
        <v>124</v>
      </c>
      <c r="K78" s="56">
        <v>0</v>
      </c>
      <c r="L78" s="57" t="s">
        <v>125</v>
      </c>
      <c r="M78" s="58" t="s">
        <v>126</v>
      </c>
      <c r="O78" s="59" t="s">
        <v>62</v>
      </c>
      <c r="P78" s="22">
        <v>0</v>
      </c>
      <c r="Q78" s="52" t="s">
        <v>61</v>
      </c>
      <c r="R78" s="22">
        <v>1</v>
      </c>
      <c r="Z78" s="60"/>
    </row>
    <row r="79" spans="1:26" s="52" customFormat="1" ht="14.4" x14ac:dyDescent="0.3">
      <c r="A79" s="30" t="s">
        <v>9</v>
      </c>
      <c r="B79" s="30"/>
      <c r="C79" s="54" t="s">
        <v>111</v>
      </c>
      <c r="D79" s="55" t="s">
        <v>674</v>
      </c>
      <c r="E79" s="52" t="s">
        <v>187</v>
      </c>
      <c r="F79" s="51" t="s">
        <v>185</v>
      </c>
      <c r="G79" s="55">
        <v>2</v>
      </c>
      <c r="H79" s="22">
        <v>1</v>
      </c>
      <c r="I79" s="55" t="s">
        <v>39</v>
      </c>
      <c r="J79" s="55" t="s">
        <v>69</v>
      </c>
      <c r="K79" s="56">
        <v>0</v>
      </c>
      <c r="L79" s="57" t="s">
        <v>506</v>
      </c>
      <c r="M79" s="58"/>
      <c r="N79" s="52" t="s">
        <v>185</v>
      </c>
      <c r="O79" s="59" t="s">
        <v>62</v>
      </c>
      <c r="P79" s="22">
        <v>0</v>
      </c>
      <c r="Q79" s="52" t="s">
        <v>61</v>
      </c>
      <c r="R79" s="22">
        <v>1</v>
      </c>
      <c r="Z79" s="60"/>
    </row>
    <row r="80" spans="1:26" s="52" customFormat="1" ht="14.4" x14ac:dyDescent="0.3">
      <c r="A80" s="30" t="s">
        <v>9</v>
      </c>
      <c r="B80" s="30"/>
      <c r="C80" s="54" t="s">
        <v>111</v>
      </c>
      <c r="D80" s="55" t="s">
        <v>674</v>
      </c>
      <c r="E80" s="52" t="s">
        <v>192</v>
      </c>
      <c r="F80" s="51" t="s">
        <v>190</v>
      </c>
      <c r="G80" s="55">
        <v>3</v>
      </c>
      <c r="H80" s="22">
        <v>0</v>
      </c>
      <c r="I80" s="55" t="s">
        <v>123</v>
      </c>
      <c r="J80" s="55" t="s">
        <v>124</v>
      </c>
      <c r="K80" s="56">
        <v>0</v>
      </c>
      <c r="L80" s="57" t="s">
        <v>125</v>
      </c>
      <c r="M80" s="58" t="s">
        <v>126</v>
      </c>
      <c r="O80" s="59" t="s">
        <v>62</v>
      </c>
      <c r="P80" s="22">
        <v>0</v>
      </c>
      <c r="Q80" s="52" t="s">
        <v>61</v>
      </c>
      <c r="R80" s="22">
        <v>1</v>
      </c>
      <c r="Z80" s="60"/>
    </row>
    <row r="81" spans="1:26" s="52" customFormat="1" ht="14.4" x14ac:dyDescent="0.3">
      <c r="A81" s="30" t="s">
        <v>9</v>
      </c>
      <c r="B81" s="30"/>
      <c r="C81" s="54" t="s">
        <v>111</v>
      </c>
      <c r="D81" s="55" t="s">
        <v>674</v>
      </c>
      <c r="E81" s="52" t="s">
        <v>191</v>
      </c>
      <c r="F81" s="51" t="s">
        <v>189</v>
      </c>
      <c r="G81" s="55">
        <v>3</v>
      </c>
      <c r="H81" s="22">
        <v>1</v>
      </c>
      <c r="I81" s="55" t="s">
        <v>39</v>
      </c>
      <c r="J81" s="55" t="s">
        <v>69</v>
      </c>
      <c r="K81" s="56">
        <v>0</v>
      </c>
      <c r="L81" s="57" t="s">
        <v>506</v>
      </c>
      <c r="M81" s="58"/>
      <c r="N81" s="52" t="s">
        <v>193</v>
      </c>
      <c r="O81" s="59" t="s">
        <v>62</v>
      </c>
      <c r="P81" s="22">
        <v>0</v>
      </c>
      <c r="Q81" s="52" t="s">
        <v>61</v>
      </c>
      <c r="R81" s="22">
        <v>1</v>
      </c>
      <c r="Z81" s="60"/>
    </row>
    <row r="82" spans="1:26" ht="16.8" x14ac:dyDescent="0.25">
      <c r="A82" s="30"/>
      <c r="B82" s="30"/>
      <c r="C82" s="11"/>
      <c r="D82" s="30"/>
      <c r="F82" s="11"/>
      <c r="G82" s="39"/>
      <c r="H82" s="22"/>
      <c r="I82" s="27"/>
      <c r="K82" s="37"/>
      <c r="L82" s="29"/>
      <c r="M82" s="35"/>
      <c r="N82"/>
      <c r="O82" s="46"/>
      <c r="Q82" s="39"/>
      <c r="R82" s="39"/>
      <c r="S82" s="39"/>
      <c r="T82" s="48"/>
      <c r="U82" s="39"/>
      <c r="V82" s="39"/>
      <c r="Z82" s="38"/>
    </row>
    <row r="83" spans="1:26" x14ac:dyDescent="0.25">
      <c r="A83" s="31" t="s">
        <v>9</v>
      </c>
      <c r="B83" s="31"/>
      <c r="C83" s="32" t="s">
        <v>111</v>
      </c>
      <c r="D83" s="18"/>
      <c r="E83" s="33" t="s">
        <v>194</v>
      </c>
      <c r="F83" s="32"/>
      <c r="G83" s="20">
        <v>1</v>
      </c>
      <c r="H83" s="20">
        <v>4</v>
      </c>
      <c r="I83" s="26"/>
      <c r="J83" s="26" t="s">
        <v>38</v>
      </c>
      <c r="K83" s="24"/>
      <c r="L83" s="21"/>
      <c r="M83" s="19"/>
      <c r="N83" s="23" t="s">
        <v>195</v>
      </c>
      <c r="O83" s="66" t="s">
        <v>32</v>
      </c>
      <c r="P83" s="33" t="s">
        <v>658</v>
      </c>
      <c r="Q83" s="33" t="s">
        <v>49</v>
      </c>
      <c r="R83" s="33" t="s">
        <v>68</v>
      </c>
      <c r="S83" s="33"/>
      <c r="T83" s="33"/>
      <c r="U83" s="33"/>
      <c r="V83" s="33"/>
      <c r="W83" s="23"/>
      <c r="X83" s="23"/>
      <c r="Y83" s="23"/>
      <c r="Z83" s="40"/>
    </row>
    <row r="84" spans="1:26" x14ac:dyDescent="0.25">
      <c r="A84" s="30"/>
      <c r="B84" s="30"/>
      <c r="C84" s="11"/>
      <c r="D84" s="39"/>
      <c r="E84" s="39"/>
      <c r="F84" s="11"/>
      <c r="G84" s="39"/>
      <c r="H84" s="39"/>
      <c r="I84" s="27"/>
      <c r="J84" s="27"/>
      <c r="K84" s="37"/>
      <c r="M84" s="35"/>
      <c r="O84" s="45"/>
      <c r="Q84" s="39"/>
      <c r="R84" s="39"/>
      <c r="S84" s="39"/>
      <c r="T84" s="39"/>
      <c r="U84" s="39"/>
      <c r="V84" s="39"/>
      <c r="Z84" s="38"/>
    </row>
    <row r="85" spans="1:26" s="52" customFormat="1" ht="14.4" x14ac:dyDescent="0.3">
      <c r="A85" s="30" t="s">
        <v>9</v>
      </c>
      <c r="B85" s="30"/>
      <c r="C85" s="54" t="s">
        <v>111</v>
      </c>
      <c r="D85" s="55" t="s">
        <v>194</v>
      </c>
      <c r="E85" s="52" t="s">
        <v>199</v>
      </c>
      <c r="F85" s="51" t="s">
        <v>196</v>
      </c>
      <c r="G85" s="55">
        <v>0</v>
      </c>
      <c r="H85" s="22">
        <v>0</v>
      </c>
      <c r="I85" s="61" t="s">
        <v>123</v>
      </c>
      <c r="J85" s="61" t="s">
        <v>203</v>
      </c>
      <c r="K85" s="62"/>
      <c r="L85" s="57" t="s">
        <v>211</v>
      </c>
      <c r="M85" s="63"/>
      <c r="N85" s="54"/>
      <c r="O85" s="64" t="s">
        <v>204</v>
      </c>
      <c r="P85" s="65" t="s">
        <v>205</v>
      </c>
      <c r="Q85" s="52" t="s">
        <v>61</v>
      </c>
      <c r="R85" s="22">
        <v>1</v>
      </c>
      <c r="Z85" s="60"/>
    </row>
    <row r="86" spans="1:26" s="52" customFormat="1" x14ac:dyDescent="0.25">
      <c r="A86" s="30" t="s">
        <v>9</v>
      </c>
      <c r="B86" s="30"/>
      <c r="C86" s="54" t="s">
        <v>111</v>
      </c>
      <c r="D86" s="55" t="s">
        <v>194</v>
      </c>
      <c r="E86" s="52" t="s">
        <v>201</v>
      </c>
      <c r="F86" s="39"/>
      <c r="G86" s="55">
        <v>0</v>
      </c>
      <c r="H86" s="22">
        <v>1</v>
      </c>
      <c r="I86" s="61"/>
      <c r="J86" s="61" t="s">
        <v>55</v>
      </c>
      <c r="K86" s="62"/>
      <c r="L86" s="57" t="s">
        <v>175</v>
      </c>
      <c r="M86" s="63"/>
      <c r="N86" s="54" t="s">
        <v>206</v>
      </c>
      <c r="O86" s="64"/>
      <c r="P86" s="55"/>
      <c r="Q86" s="52" t="s">
        <v>61</v>
      </c>
      <c r="R86" s="22">
        <v>1</v>
      </c>
      <c r="Z86" s="60"/>
    </row>
    <row r="87" spans="1:26" s="52" customFormat="1" ht="14.4" x14ac:dyDescent="0.3">
      <c r="A87" s="30" t="s">
        <v>9</v>
      </c>
      <c r="B87" s="30"/>
      <c r="C87" s="54" t="s">
        <v>111</v>
      </c>
      <c r="D87" s="55" t="s">
        <v>194</v>
      </c>
      <c r="E87" s="52" t="s">
        <v>200</v>
      </c>
      <c r="F87" s="51" t="s">
        <v>197</v>
      </c>
      <c r="G87" s="55">
        <v>1</v>
      </c>
      <c r="H87" s="22">
        <v>0</v>
      </c>
      <c r="I87" s="61" t="s">
        <v>123</v>
      </c>
      <c r="J87" s="61" t="s">
        <v>203</v>
      </c>
      <c r="K87" s="62"/>
      <c r="L87" s="57" t="s">
        <v>211</v>
      </c>
      <c r="M87" s="63"/>
      <c r="N87" s="54"/>
      <c r="O87" s="64" t="s">
        <v>204</v>
      </c>
      <c r="P87" s="65" t="s">
        <v>205</v>
      </c>
      <c r="Q87" s="52" t="s">
        <v>61</v>
      </c>
      <c r="R87" s="22">
        <v>1</v>
      </c>
      <c r="Z87" s="60"/>
    </row>
    <row r="88" spans="1:26" s="52" customFormat="1" x14ac:dyDescent="0.25">
      <c r="A88" s="30" t="s">
        <v>9</v>
      </c>
      <c r="B88" s="30"/>
      <c r="C88" s="54" t="s">
        <v>111</v>
      </c>
      <c r="D88" s="55" t="s">
        <v>194</v>
      </c>
      <c r="E88" s="52" t="s">
        <v>202</v>
      </c>
      <c r="F88" s="39"/>
      <c r="G88" s="55">
        <v>1</v>
      </c>
      <c r="H88" s="22">
        <v>1</v>
      </c>
      <c r="I88" s="61"/>
      <c r="J88" s="61" t="s">
        <v>55</v>
      </c>
      <c r="K88" s="62"/>
      <c r="L88" s="57" t="s">
        <v>175</v>
      </c>
      <c r="M88" s="63"/>
      <c r="N88" s="54" t="s">
        <v>207</v>
      </c>
      <c r="O88" s="64"/>
      <c r="P88" s="55"/>
      <c r="Q88" s="52" t="s">
        <v>61</v>
      </c>
      <c r="R88" s="22">
        <v>1</v>
      </c>
      <c r="Z88" s="60"/>
    </row>
    <row r="89" spans="1:26" s="52" customFormat="1" ht="14.4" x14ac:dyDescent="0.3">
      <c r="A89" s="30" t="s">
        <v>9</v>
      </c>
      <c r="B89" s="30"/>
      <c r="C89" s="54" t="s">
        <v>111</v>
      </c>
      <c r="D89" s="55" t="s">
        <v>194</v>
      </c>
      <c r="E89" s="52" t="s">
        <v>209</v>
      </c>
      <c r="F89" s="51" t="s">
        <v>198</v>
      </c>
      <c r="G89" s="55">
        <v>2</v>
      </c>
      <c r="H89" s="22">
        <v>0</v>
      </c>
      <c r="I89" s="61" t="s">
        <v>123</v>
      </c>
      <c r="J89" s="61" t="s">
        <v>203</v>
      </c>
      <c r="K89" s="62"/>
      <c r="L89" s="57" t="s">
        <v>211</v>
      </c>
      <c r="M89" s="63"/>
      <c r="N89" s="54"/>
      <c r="O89" s="64" t="s">
        <v>204</v>
      </c>
      <c r="P89" s="65" t="s">
        <v>205</v>
      </c>
      <c r="Q89" s="52" t="s">
        <v>61</v>
      </c>
      <c r="R89" s="22">
        <v>1</v>
      </c>
      <c r="Z89" s="60"/>
    </row>
    <row r="90" spans="1:26" s="52" customFormat="1" x14ac:dyDescent="0.25">
      <c r="A90" s="30" t="s">
        <v>9</v>
      </c>
      <c r="B90" s="30"/>
      <c r="C90" s="54" t="s">
        <v>111</v>
      </c>
      <c r="D90" s="55" t="s">
        <v>194</v>
      </c>
      <c r="E90" s="52" t="s">
        <v>210</v>
      </c>
      <c r="F90" s="39"/>
      <c r="G90" s="55">
        <v>2</v>
      </c>
      <c r="H90" s="22">
        <v>1</v>
      </c>
      <c r="I90" s="61"/>
      <c r="J90" s="61" t="s">
        <v>55</v>
      </c>
      <c r="K90" s="62"/>
      <c r="L90" s="57" t="s">
        <v>175</v>
      </c>
      <c r="M90" s="63"/>
      <c r="N90" s="54" t="s">
        <v>208</v>
      </c>
      <c r="O90" s="64"/>
      <c r="P90" s="55"/>
      <c r="Q90" s="52" t="s">
        <v>61</v>
      </c>
      <c r="R90" s="22">
        <v>1</v>
      </c>
      <c r="Z90" s="60"/>
    </row>
    <row r="91" spans="1:26" s="52" customFormat="1" x14ac:dyDescent="0.25">
      <c r="A91" s="30"/>
      <c r="B91" s="30"/>
      <c r="C91" s="54"/>
      <c r="D91" s="55"/>
      <c r="F91" s="11"/>
      <c r="G91" s="55"/>
      <c r="H91" s="22"/>
      <c r="I91" s="55"/>
      <c r="J91" s="55"/>
      <c r="K91" s="56"/>
      <c r="L91" s="57"/>
      <c r="M91" s="58"/>
      <c r="O91" s="59"/>
      <c r="P91" s="22"/>
      <c r="R91" s="22"/>
      <c r="Z91" s="60"/>
    </row>
    <row r="92" spans="1:26" x14ac:dyDescent="0.25">
      <c r="A92" s="31" t="s">
        <v>9</v>
      </c>
      <c r="B92" s="31"/>
      <c r="C92" s="32" t="s">
        <v>111</v>
      </c>
      <c r="D92" s="18"/>
      <c r="E92" s="33" t="s">
        <v>680</v>
      </c>
      <c r="F92" s="32"/>
      <c r="G92" s="20">
        <v>0</v>
      </c>
      <c r="H92" s="20">
        <v>0</v>
      </c>
      <c r="I92" s="26"/>
      <c r="J92" s="26" t="s">
        <v>38</v>
      </c>
      <c r="K92" s="24"/>
      <c r="L92" s="21"/>
      <c r="M92" s="19"/>
      <c r="N92" s="23" t="s">
        <v>679</v>
      </c>
      <c r="O92" s="66" t="s">
        <v>32</v>
      </c>
      <c r="P92" s="33" t="s">
        <v>658</v>
      </c>
      <c r="Q92" s="33" t="s">
        <v>49</v>
      </c>
      <c r="R92" s="33" t="s">
        <v>68</v>
      </c>
      <c r="S92" s="33"/>
      <c r="T92" s="33"/>
      <c r="U92" s="33"/>
      <c r="V92" s="33"/>
      <c r="W92" s="23"/>
      <c r="X92" s="23"/>
      <c r="Y92" s="23"/>
      <c r="Z92" s="40"/>
    </row>
    <row r="93" spans="1:26" x14ac:dyDescent="0.25">
      <c r="A93" s="30"/>
      <c r="B93" s="30"/>
      <c r="C93" s="11"/>
      <c r="D93" s="39"/>
      <c r="F93" s="11"/>
      <c r="G93" s="39"/>
      <c r="H93" s="22"/>
      <c r="I93" s="39"/>
      <c r="J93" s="39"/>
      <c r="N93"/>
      <c r="O93" s="46"/>
      <c r="P93" s="42"/>
      <c r="Q93"/>
      <c r="R93" s="42"/>
      <c r="Z93" s="38"/>
    </row>
    <row r="94" spans="1:26" x14ac:dyDescent="0.25">
      <c r="A94" s="30" t="s">
        <v>9</v>
      </c>
      <c r="B94" s="30"/>
      <c r="C94" s="11" t="s">
        <v>111</v>
      </c>
      <c r="D94" s="39" t="s">
        <v>680</v>
      </c>
      <c r="E94" s="39" t="s">
        <v>507</v>
      </c>
      <c r="F94" s="11"/>
      <c r="G94" s="39">
        <v>0</v>
      </c>
      <c r="H94" s="39">
        <v>0</v>
      </c>
      <c r="I94" s="27"/>
      <c r="J94" s="27" t="s">
        <v>55</v>
      </c>
      <c r="K94" s="37"/>
      <c r="L94" s="28" t="s">
        <v>71</v>
      </c>
      <c r="M94" s="35"/>
      <c r="N94" s="11" t="s">
        <v>515</v>
      </c>
      <c r="O94" s="45"/>
      <c r="Q94" s="39"/>
      <c r="R94" s="39"/>
      <c r="S94" s="39"/>
      <c r="T94" s="39"/>
      <c r="U94" s="39"/>
      <c r="V94" s="39"/>
      <c r="Z94" s="38"/>
    </row>
    <row r="95" spans="1:26" ht="14.4" x14ac:dyDescent="0.3">
      <c r="A95" s="30" t="s">
        <v>9</v>
      </c>
      <c r="B95" s="30"/>
      <c r="C95" s="11" t="s">
        <v>111</v>
      </c>
      <c r="D95" s="39" t="s">
        <v>680</v>
      </c>
      <c r="E95" t="s">
        <v>508</v>
      </c>
      <c r="F95" s="51" t="s">
        <v>513</v>
      </c>
      <c r="G95" s="39">
        <v>1</v>
      </c>
      <c r="H95" s="39">
        <v>0</v>
      </c>
      <c r="I95" s="27" t="s">
        <v>39</v>
      </c>
      <c r="J95" s="27" t="s">
        <v>56</v>
      </c>
      <c r="K95" s="37">
        <v>0</v>
      </c>
      <c r="L95" s="41" t="s">
        <v>575</v>
      </c>
      <c r="M95" s="35"/>
      <c r="N95"/>
      <c r="O95" s="46" t="s">
        <v>57</v>
      </c>
      <c r="P95" s="36" t="s">
        <v>519</v>
      </c>
      <c r="Q95" t="s">
        <v>58</v>
      </c>
      <c r="R95" s="43" t="s">
        <v>518</v>
      </c>
      <c r="S95" s="49"/>
      <c r="T95" s="43"/>
      <c r="U95" s="49"/>
      <c r="Z95" s="38"/>
    </row>
    <row r="96" spans="1:26" ht="14.4" x14ac:dyDescent="0.3">
      <c r="A96" s="30" t="s">
        <v>9</v>
      </c>
      <c r="B96" s="30"/>
      <c r="C96" s="11" t="s">
        <v>111</v>
      </c>
      <c r="D96" s="39" t="s">
        <v>680</v>
      </c>
      <c r="E96" t="s">
        <v>509</v>
      </c>
      <c r="F96" s="51" t="s">
        <v>513</v>
      </c>
      <c r="G96" s="39">
        <v>2</v>
      </c>
      <c r="H96" s="39">
        <v>0</v>
      </c>
      <c r="I96" s="27" t="s">
        <v>39</v>
      </c>
      <c r="J96" t="s">
        <v>59</v>
      </c>
      <c r="K96" s="37"/>
      <c r="L96" s="28" t="s">
        <v>71</v>
      </c>
      <c r="M96" s="35"/>
      <c r="N96"/>
      <c r="O96" s="46" t="s">
        <v>60</v>
      </c>
      <c r="P96" s="39" t="s">
        <v>517</v>
      </c>
      <c r="Q96" s="39"/>
      <c r="R96" s="39"/>
    </row>
    <row r="97" spans="1:26" x14ac:dyDescent="0.25">
      <c r="A97" s="30" t="s">
        <v>9</v>
      </c>
      <c r="B97" s="30"/>
      <c r="C97" s="11" t="s">
        <v>111</v>
      </c>
      <c r="D97" s="39" t="s">
        <v>680</v>
      </c>
      <c r="E97" s="39" t="s">
        <v>510</v>
      </c>
      <c r="F97" s="11"/>
      <c r="G97" s="39">
        <v>0</v>
      </c>
      <c r="H97" s="39">
        <v>1</v>
      </c>
      <c r="I97" s="27"/>
      <c r="J97" s="27" t="s">
        <v>55</v>
      </c>
      <c r="K97" s="37"/>
      <c r="L97" s="28" t="s">
        <v>71</v>
      </c>
      <c r="M97" s="35"/>
      <c r="N97" t="s">
        <v>516</v>
      </c>
      <c r="O97" s="46"/>
      <c r="Q97" s="39"/>
      <c r="R97" s="39"/>
    </row>
    <row r="98" spans="1:26" ht="14.4" x14ac:dyDescent="0.3">
      <c r="A98" s="30" t="s">
        <v>9</v>
      </c>
      <c r="B98" s="30"/>
      <c r="C98" s="11" t="s">
        <v>111</v>
      </c>
      <c r="D98" s="39" t="s">
        <v>680</v>
      </c>
      <c r="E98" t="s">
        <v>511</v>
      </c>
      <c r="F98" s="51" t="s">
        <v>514</v>
      </c>
      <c r="G98" s="39">
        <v>1</v>
      </c>
      <c r="H98" s="39">
        <v>1</v>
      </c>
      <c r="I98" s="27" t="s">
        <v>39</v>
      </c>
      <c r="J98" s="27" t="s">
        <v>56</v>
      </c>
      <c r="K98" s="37">
        <v>0</v>
      </c>
      <c r="L98" s="41" t="s">
        <v>575</v>
      </c>
      <c r="M98" s="35"/>
      <c r="N98"/>
      <c r="O98" s="46" t="s">
        <v>57</v>
      </c>
      <c r="P98" s="36" t="s">
        <v>709</v>
      </c>
      <c r="Q98" t="s">
        <v>58</v>
      </c>
      <c r="R98" s="43" t="s">
        <v>707</v>
      </c>
      <c r="S98" s="49"/>
      <c r="T98" s="43"/>
      <c r="U98" s="49"/>
      <c r="Z98" s="38"/>
    </row>
    <row r="99" spans="1:26" ht="14.4" x14ac:dyDescent="0.3">
      <c r="A99" s="30" t="s">
        <v>9</v>
      </c>
      <c r="B99" s="30"/>
      <c r="C99" s="11" t="s">
        <v>111</v>
      </c>
      <c r="D99" s="39" t="s">
        <v>680</v>
      </c>
      <c r="E99" t="s">
        <v>512</v>
      </c>
      <c r="F99" s="51" t="s">
        <v>514</v>
      </c>
      <c r="G99" s="39">
        <v>2</v>
      </c>
      <c r="H99" s="39">
        <v>1</v>
      </c>
      <c r="I99" s="27" t="s">
        <v>39</v>
      </c>
      <c r="J99" t="s">
        <v>59</v>
      </c>
      <c r="K99" s="37"/>
      <c r="L99" s="28" t="s">
        <v>71</v>
      </c>
      <c r="M99" s="35"/>
      <c r="N99"/>
      <c r="O99" s="46" t="s">
        <v>60</v>
      </c>
      <c r="P99" s="39" t="s">
        <v>708</v>
      </c>
      <c r="Q99" s="39"/>
      <c r="R99" s="39"/>
    </row>
    <row r="100" spans="1:26" x14ac:dyDescent="0.25">
      <c r="A100" s="30" t="s">
        <v>9</v>
      </c>
      <c r="B100" s="30"/>
      <c r="C100" s="11" t="s">
        <v>111</v>
      </c>
      <c r="D100" s="39" t="s">
        <v>680</v>
      </c>
      <c r="E100" t="s">
        <v>563</v>
      </c>
      <c r="F100" s="11"/>
      <c r="G100" s="39">
        <v>0</v>
      </c>
      <c r="H100" s="39">
        <v>2</v>
      </c>
      <c r="I100" s="27"/>
      <c r="J100" s="27" t="s">
        <v>55</v>
      </c>
      <c r="K100" s="37"/>
      <c r="L100" s="28" t="s">
        <v>71</v>
      </c>
      <c r="M100" s="35"/>
      <c r="N100" s="11" t="s">
        <v>670</v>
      </c>
      <c r="O100" s="45"/>
      <c r="Q100" s="39"/>
      <c r="R100" s="39"/>
      <c r="S100" s="39"/>
      <c r="T100" s="39"/>
      <c r="U100" s="39"/>
      <c r="V100" s="39"/>
      <c r="Z100" s="38"/>
    </row>
    <row r="101" spans="1:26" ht="14.4" x14ac:dyDescent="0.3">
      <c r="A101" s="30" t="s">
        <v>9</v>
      </c>
      <c r="B101" s="30"/>
      <c r="C101" s="11" t="s">
        <v>111</v>
      </c>
      <c r="D101" s="39" t="s">
        <v>680</v>
      </c>
      <c r="E101" t="s">
        <v>561</v>
      </c>
      <c r="F101" s="51" t="s">
        <v>556</v>
      </c>
      <c r="G101" s="39">
        <v>1</v>
      </c>
      <c r="H101" s="39">
        <v>2</v>
      </c>
      <c r="I101" s="27" t="s">
        <v>39</v>
      </c>
      <c r="J101" s="27" t="s">
        <v>56</v>
      </c>
      <c r="K101" s="37">
        <v>0</v>
      </c>
      <c r="L101" s="41" t="s">
        <v>575</v>
      </c>
      <c r="M101" s="35"/>
      <c r="N101"/>
      <c r="O101" s="46" t="s">
        <v>57</v>
      </c>
      <c r="P101" s="36" t="s">
        <v>574</v>
      </c>
      <c r="Q101" t="s">
        <v>58</v>
      </c>
      <c r="R101" s="43" t="s">
        <v>488</v>
      </c>
      <c r="S101" s="49"/>
      <c r="T101" s="43"/>
      <c r="U101" s="49"/>
      <c r="Z101" s="38"/>
    </row>
    <row r="102" spans="1:26" ht="14.4" x14ac:dyDescent="0.3">
      <c r="A102" s="30" t="s">
        <v>9</v>
      </c>
      <c r="B102" s="30"/>
      <c r="C102" s="11" t="s">
        <v>111</v>
      </c>
      <c r="D102" s="39" t="s">
        <v>680</v>
      </c>
      <c r="E102" s="39" t="s">
        <v>562</v>
      </c>
      <c r="F102" s="51" t="s">
        <v>556</v>
      </c>
      <c r="G102" s="39">
        <v>2</v>
      </c>
      <c r="H102" s="39">
        <v>2</v>
      </c>
      <c r="I102" s="27" t="s">
        <v>39</v>
      </c>
      <c r="J102" t="s">
        <v>59</v>
      </c>
      <c r="K102" s="37"/>
      <c r="L102" s="28" t="s">
        <v>71</v>
      </c>
      <c r="M102" s="35"/>
      <c r="N102"/>
      <c r="O102" s="46" t="s">
        <v>60</v>
      </c>
      <c r="P102" s="39" t="s">
        <v>489</v>
      </c>
      <c r="Q102" s="39"/>
      <c r="R102" s="39"/>
    </row>
    <row r="103" spans="1:26" x14ac:dyDescent="0.25">
      <c r="A103" s="30" t="s">
        <v>9</v>
      </c>
      <c r="B103" s="30"/>
      <c r="C103" s="11" t="s">
        <v>111</v>
      </c>
      <c r="D103" s="39" t="s">
        <v>680</v>
      </c>
      <c r="E103" t="s">
        <v>566</v>
      </c>
      <c r="F103" s="11"/>
      <c r="G103" s="39">
        <v>0</v>
      </c>
      <c r="H103" s="39">
        <v>3</v>
      </c>
      <c r="I103" s="27"/>
      <c r="J103" s="27" t="s">
        <v>55</v>
      </c>
      <c r="K103" s="37"/>
      <c r="L103" s="28" t="s">
        <v>71</v>
      </c>
      <c r="M103" s="35"/>
      <c r="N103" t="s">
        <v>671</v>
      </c>
      <c r="O103" s="46"/>
      <c r="Q103" s="39"/>
      <c r="R103" s="39"/>
    </row>
    <row r="104" spans="1:26" ht="14.4" x14ac:dyDescent="0.3">
      <c r="A104" s="30" t="s">
        <v>9</v>
      </c>
      <c r="B104" s="30"/>
      <c r="C104" s="11" t="s">
        <v>111</v>
      </c>
      <c r="D104" s="39" t="s">
        <v>680</v>
      </c>
      <c r="E104" t="s">
        <v>564</v>
      </c>
      <c r="F104" s="51" t="s">
        <v>557</v>
      </c>
      <c r="G104" s="39">
        <v>1</v>
      </c>
      <c r="H104" s="39">
        <v>3</v>
      </c>
      <c r="I104" s="27" t="s">
        <v>39</v>
      </c>
      <c r="J104" s="27" t="s">
        <v>56</v>
      </c>
      <c r="K104" s="37">
        <v>0</v>
      </c>
      <c r="L104" s="41" t="s">
        <v>575</v>
      </c>
      <c r="M104" s="35"/>
      <c r="N104"/>
      <c r="O104" s="46" t="s">
        <v>57</v>
      </c>
      <c r="P104" s="36" t="s">
        <v>574</v>
      </c>
      <c r="Q104" t="s">
        <v>58</v>
      </c>
      <c r="R104" s="43" t="s">
        <v>488</v>
      </c>
      <c r="S104" s="49"/>
      <c r="T104" s="43"/>
      <c r="U104" s="49"/>
      <c r="Z104" s="38"/>
    </row>
    <row r="105" spans="1:26" ht="14.4" x14ac:dyDescent="0.3">
      <c r="A105" s="30" t="s">
        <v>9</v>
      </c>
      <c r="B105" s="30"/>
      <c r="C105" s="11" t="s">
        <v>111</v>
      </c>
      <c r="D105" s="39" t="s">
        <v>680</v>
      </c>
      <c r="E105" s="39" t="s">
        <v>565</v>
      </c>
      <c r="F105" s="51" t="s">
        <v>557</v>
      </c>
      <c r="G105" s="39">
        <v>2</v>
      </c>
      <c r="H105" s="39">
        <v>3</v>
      </c>
      <c r="I105" s="27" t="s">
        <v>39</v>
      </c>
      <c r="J105" t="s">
        <v>59</v>
      </c>
      <c r="K105" s="37"/>
      <c r="L105" s="28" t="s">
        <v>71</v>
      </c>
      <c r="M105" s="35"/>
      <c r="N105"/>
      <c r="O105" s="46" t="s">
        <v>60</v>
      </c>
      <c r="P105" s="39" t="s">
        <v>489</v>
      </c>
      <c r="Q105" s="39"/>
      <c r="R105" s="39"/>
    </row>
    <row r="106" spans="1:26" x14ac:dyDescent="0.25">
      <c r="A106" s="30" t="s">
        <v>9</v>
      </c>
      <c r="B106" s="30"/>
      <c r="C106" s="11" t="s">
        <v>111</v>
      </c>
      <c r="D106" s="39" t="s">
        <v>680</v>
      </c>
      <c r="E106" t="s">
        <v>576</v>
      </c>
      <c r="F106" s="11"/>
      <c r="G106" s="39">
        <v>7</v>
      </c>
      <c r="H106" s="39">
        <v>0</v>
      </c>
      <c r="I106" s="27"/>
      <c r="J106" s="27" t="s">
        <v>55</v>
      </c>
      <c r="K106" s="37"/>
      <c r="L106" s="28" t="s">
        <v>71</v>
      </c>
      <c r="M106" s="35"/>
      <c r="N106" s="11" t="s">
        <v>558</v>
      </c>
      <c r="O106" s="45"/>
      <c r="Q106" s="39"/>
      <c r="R106" s="39"/>
      <c r="S106" s="39"/>
      <c r="T106" s="39"/>
      <c r="U106" s="39"/>
      <c r="V106" s="39"/>
      <c r="Z106" s="38"/>
    </row>
    <row r="107" spans="1:26" ht="14.4" x14ac:dyDescent="0.3">
      <c r="A107" s="30" t="s">
        <v>9</v>
      </c>
      <c r="B107" s="30"/>
      <c r="C107" s="11" t="s">
        <v>111</v>
      </c>
      <c r="D107" s="39" t="s">
        <v>680</v>
      </c>
      <c r="E107" t="s">
        <v>567</v>
      </c>
      <c r="F107" s="51" t="s">
        <v>558</v>
      </c>
      <c r="G107" s="39">
        <v>8</v>
      </c>
      <c r="H107" s="39">
        <v>0</v>
      </c>
      <c r="I107" s="27" t="s">
        <v>39</v>
      </c>
      <c r="J107" s="27" t="s">
        <v>56</v>
      </c>
      <c r="K107" s="37">
        <v>0</v>
      </c>
      <c r="L107" s="41" t="s">
        <v>575</v>
      </c>
      <c r="M107" s="35"/>
      <c r="N107"/>
      <c r="O107" s="46" t="s">
        <v>57</v>
      </c>
      <c r="P107" s="36" t="s">
        <v>519</v>
      </c>
      <c r="Q107" t="s">
        <v>58</v>
      </c>
      <c r="R107" s="43" t="s">
        <v>518</v>
      </c>
      <c r="S107" s="49"/>
      <c r="T107" s="43"/>
      <c r="U107" s="49"/>
      <c r="Z107" s="38"/>
    </row>
    <row r="108" spans="1:26" ht="14.4" x14ac:dyDescent="0.3">
      <c r="A108" s="30" t="s">
        <v>9</v>
      </c>
      <c r="B108" s="30"/>
      <c r="C108" s="11" t="s">
        <v>111</v>
      </c>
      <c r="D108" s="39" t="s">
        <v>680</v>
      </c>
      <c r="E108" s="39" t="s">
        <v>568</v>
      </c>
      <c r="F108" s="51" t="s">
        <v>558</v>
      </c>
      <c r="G108" s="39">
        <v>9</v>
      </c>
      <c r="H108" s="39">
        <v>0</v>
      </c>
      <c r="I108" s="27" t="s">
        <v>39</v>
      </c>
      <c r="J108" t="s">
        <v>59</v>
      </c>
      <c r="K108" s="37"/>
      <c r="L108" s="28" t="s">
        <v>71</v>
      </c>
      <c r="M108" s="35"/>
      <c r="N108"/>
      <c r="O108" s="46" t="s">
        <v>60</v>
      </c>
      <c r="P108" s="39" t="s">
        <v>688</v>
      </c>
      <c r="Q108" s="39"/>
      <c r="R108" s="39"/>
    </row>
    <row r="109" spans="1:26" x14ac:dyDescent="0.25">
      <c r="A109" s="30" t="s">
        <v>9</v>
      </c>
      <c r="B109" s="30"/>
      <c r="C109" s="11" t="s">
        <v>111</v>
      </c>
      <c r="D109" s="39" t="s">
        <v>680</v>
      </c>
      <c r="E109" t="s">
        <v>571</v>
      </c>
      <c r="F109" s="11"/>
      <c r="G109" s="39">
        <v>7</v>
      </c>
      <c r="H109" s="39">
        <v>1</v>
      </c>
      <c r="I109" s="27"/>
      <c r="J109" s="27" t="s">
        <v>55</v>
      </c>
      <c r="K109" s="37"/>
      <c r="L109" s="28" t="s">
        <v>71</v>
      </c>
      <c r="M109" s="35"/>
      <c r="N109" t="s">
        <v>672</v>
      </c>
      <c r="O109" s="46"/>
      <c r="Q109" s="39"/>
      <c r="R109" s="39"/>
    </row>
    <row r="110" spans="1:26" ht="14.4" x14ac:dyDescent="0.3">
      <c r="A110" s="30" t="s">
        <v>9</v>
      </c>
      <c r="B110" s="30"/>
      <c r="C110" s="11" t="s">
        <v>111</v>
      </c>
      <c r="D110" s="39" t="s">
        <v>680</v>
      </c>
      <c r="E110" t="s">
        <v>569</v>
      </c>
      <c r="F110" s="51" t="s">
        <v>559</v>
      </c>
      <c r="G110" s="39">
        <v>8</v>
      </c>
      <c r="H110" s="39">
        <v>1</v>
      </c>
      <c r="I110" s="27" t="s">
        <v>39</v>
      </c>
      <c r="J110" s="27" t="s">
        <v>56</v>
      </c>
      <c r="K110" s="37">
        <v>0</v>
      </c>
      <c r="L110" s="41" t="s">
        <v>575</v>
      </c>
      <c r="M110" s="35"/>
      <c r="N110"/>
      <c r="O110" s="46" t="s">
        <v>57</v>
      </c>
      <c r="P110" s="36" t="s">
        <v>574</v>
      </c>
      <c r="Q110" t="s">
        <v>58</v>
      </c>
      <c r="R110" s="43" t="s">
        <v>488</v>
      </c>
      <c r="S110" s="49"/>
      <c r="T110" s="43"/>
      <c r="U110" s="49"/>
      <c r="Z110" s="38"/>
    </row>
    <row r="111" spans="1:26" ht="14.4" x14ac:dyDescent="0.3">
      <c r="A111" s="30" t="s">
        <v>9</v>
      </c>
      <c r="B111" s="30"/>
      <c r="C111" s="11" t="s">
        <v>111</v>
      </c>
      <c r="D111" s="39" t="s">
        <v>680</v>
      </c>
      <c r="E111" s="39" t="s">
        <v>570</v>
      </c>
      <c r="F111" s="51" t="s">
        <v>559</v>
      </c>
      <c r="G111" s="39">
        <v>9</v>
      </c>
      <c r="H111" s="39">
        <v>1</v>
      </c>
      <c r="I111" s="27" t="s">
        <v>39</v>
      </c>
      <c r="J111" t="s">
        <v>59</v>
      </c>
      <c r="K111" s="37"/>
      <c r="L111" s="28" t="s">
        <v>71</v>
      </c>
      <c r="M111" s="35"/>
      <c r="N111"/>
      <c r="O111" s="46" t="s">
        <v>60</v>
      </c>
      <c r="P111" s="39" t="s">
        <v>489</v>
      </c>
      <c r="Q111" s="39"/>
      <c r="R111" s="39"/>
    </row>
    <row r="112" spans="1:26" x14ac:dyDescent="0.25">
      <c r="A112" s="30" t="s">
        <v>9</v>
      </c>
      <c r="B112" s="30"/>
      <c r="C112" s="11" t="s">
        <v>111</v>
      </c>
      <c r="D112" s="39" t="s">
        <v>680</v>
      </c>
      <c r="E112" t="s">
        <v>577</v>
      </c>
      <c r="F112" s="11"/>
      <c r="G112" s="39">
        <v>7</v>
      </c>
      <c r="H112" s="39">
        <v>2</v>
      </c>
      <c r="I112" s="27"/>
      <c r="J112" s="27" t="s">
        <v>55</v>
      </c>
      <c r="K112" s="37"/>
      <c r="L112" s="28" t="s">
        <v>71</v>
      </c>
      <c r="M112" s="35"/>
      <c r="N112" t="s">
        <v>560</v>
      </c>
      <c r="O112" s="46"/>
      <c r="Q112" s="39"/>
      <c r="R112" s="39"/>
    </row>
    <row r="113" spans="1:26" ht="14.4" x14ac:dyDescent="0.3">
      <c r="A113" s="30" t="s">
        <v>9</v>
      </c>
      <c r="B113" s="30"/>
      <c r="C113" s="11" t="s">
        <v>111</v>
      </c>
      <c r="D113" s="39" t="s">
        <v>680</v>
      </c>
      <c r="E113" t="s">
        <v>572</v>
      </c>
      <c r="F113" s="51" t="s">
        <v>560</v>
      </c>
      <c r="G113" s="39">
        <v>8</v>
      </c>
      <c r="H113" s="39">
        <v>2</v>
      </c>
      <c r="I113" s="27" t="s">
        <v>39</v>
      </c>
      <c r="J113" s="27" t="s">
        <v>56</v>
      </c>
      <c r="K113" s="37">
        <v>0</v>
      </c>
      <c r="L113" s="41" t="s">
        <v>575</v>
      </c>
      <c r="M113" s="35"/>
      <c r="N113"/>
      <c r="O113" s="46" t="s">
        <v>57</v>
      </c>
      <c r="P113" s="36" t="s">
        <v>654</v>
      </c>
      <c r="Q113" t="s">
        <v>58</v>
      </c>
      <c r="R113" s="43" t="s">
        <v>655</v>
      </c>
      <c r="S113" s="49"/>
      <c r="T113" s="43"/>
      <c r="U113" s="49"/>
      <c r="Z113" s="38"/>
    </row>
    <row r="114" spans="1:26" ht="14.4" x14ac:dyDescent="0.3">
      <c r="A114" s="30" t="s">
        <v>9</v>
      </c>
      <c r="B114" s="30"/>
      <c r="C114" s="11" t="s">
        <v>111</v>
      </c>
      <c r="D114" s="39" t="s">
        <v>680</v>
      </c>
      <c r="E114" s="52" t="s">
        <v>573</v>
      </c>
      <c r="F114" s="51" t="s">
        <v>560</v>
      </c>
      <c r="G114" s="39">
        <v>9</v>
      </c>
      <c r="H114" s="39">
        <v>2</v>
      </c>
      <c r="I114" s="27" t="s">
        <v>39</v>
      </c>
      <c r="J114" t="s">
        <v>59</v>
      </c>
      <c r="K114" s="37"/>
      <c r="L114" s="28" t="s">
        <v>71</v>
      </c>
      <c r="M114" s="35"/>
      <c r="N114"/>
      <c r="O114" s="46" t="s">
        <v>60</v>
      </c>
      <c r="P114" s="39" t="s">
        <v>689</v>
      </c>
      <c r="Q114" s="39"/>
      <c r="R114" s="39"/>
    </row>
    <row r="115" spans="1:26" s="52" customFormat="1" ht="14.4" x14ac:dyDescent="0.3">
      <c r="A115" s="30" t="s">
        <v>9</v>
      </c>
      <c r="B115" s="30"/>
      <c r="C115" s="11" t="s">
        <v>111</v>
      </c>
      <c r="D115" s="39" t="s">
        <v>680</v>
      </c>
      <c r="E115" s="52" t="s">
        <v>523</v>
      </c>
      <c r="F115" s="51" t="s">
        <v>521</v>
      </c>
      <c r="G115" s="39">
        <v>10</v>
      </c>
      <c r="H115" s="39">
        <v>0</v>
      </c>
      <c r="I115" s="55" t="s">
        <v>123</v>
      </c>
      <c r="J115" s="55" t="s">
        <v>124</v>
      </c>
      <c r="K115" s="56">
        <v>0</v>
      </c>
      <c r="L115" s="57" t="s">
        <v>125</v>
      </c>
      <c r="M115" s="58" t="s">
        <v>126</v>
      </c>
      <c r="O115" s="59" t="s">
        <v>62</v>
      </c>
      <c r="P115" s="22">
        <v>0</v>
      </c>
      <c r="Q115" s="52" t="s">
        <v>61</v>
      </c>
      <c r="R115" s="22">
        <v>1</v>
      </c>
      <c r="Z115" s="60"/>
    </row>
    <row r="116" spans="1:26" s="52" customFormat="1" ht="14.4" x14ac:dyDescent="0.3">
      <c r="A116" s="30" t="s">
        <v>9</v>
      </c>
      <c r="B116" s="30"/>
      <c r="C116" s="11" t="s">
        <v>111</v>
      </c>
      <c r="D116" s="39" t="s">
        <v>680</v>
      </c>
      <c r="E116" s="52" t="s">
        <v>522</v>
      </c>
      <c r="F116" s="51" t="s">
        <v>520</v>
      </c>
      <c r="G116" s="39">
        <v>10</v>
      </c>
      <c r="H116" s="39">
        <v>1</v>
      </c>
      <c r="I116" s="55" t="s">
        <v>39</v>
      </c>
      <c r="J116" s="55" t="s">
        <v>54</v>
      </c>
      <c r="K116" s="56">
        <v>0</v>
      </c>
      <c r="L116" s="57" t="s">
        <v>110</v>
      </c>
      <c r="M116" s="58"/>
      <c r="N116" s="52" t="s">
        <v>520</v>
      </c>
      <c r="O116" s="59" t="s">
        <v>62</v>
      </c>
      <c r="P116" s="22">
        <v>0</v>
      </c>
      <c r="Q116" s="52" t="s">
        <v>61</v>
      </c>
      <c r="R116" s="22">
        <v>1</v>
      </c>
      <c r="Z116" s="60"/>
    </row>
    <row r="117" spans="1:26" s="52" customFormat="1" ht="14.4" x14ac:dyDescent="0.3">
      <c r="A117" s="30" t="s">
        <v>9</v>
      </c>
      <c r="B117" s="30"/>
      <c r="C117" s="11" t="s">
        <v>111</v>
      </c>
      <c r="D117" s="39" t="s">
        <v>680</v>
      </c>
      <c r="E117" s="52" t="s">
        <v>527</v>
      </c>
      <c r="F117" s="51" t="s">
        <v>525</v>
      </c>
      <c r="G117" s="55">
        <v>3</v>
      </c>
      <c r="H117" s="22">
        <v>0</v>
      </c>
      <c r="I117" s="55" t="s">
        <v>123</v>
      </c>
      <c r="J117" s="55" t="s">
        <v>124</v>
      </c>
      <c r="K117" s="56">
        <v>0</v>
      </c>
      <c r="L117" s="57" t="s">
        <v>125</v>
      </c>
      <c r="M117" s="58" t="s">
        <v>126</v>
      </c>
      <c r="O117" s="59" t="s">
        <v>62</v>
      </c>
      <c r="P117" s="22">
        <v>0</v>
      </c>
      <c r="Q117" s="52" t="s">
        <v>61</v>
      </c>
      <c r="R117" s="22">
        <v>1</v>
      </c>
      <c r="Z117" s="60"/>
    </row>
    <row r="118" spans="1:26" s="52" customFormat="1" ht="14.4" x14ac:dyDescent="0.3">
      <c r="A118" s="30" t="s">
        <v>9</v>
      </c>
      <c r="B118" s="30"/>
      <c r="C118" s="11" t="s">
        <v>111</v>
      </c>
      <c r="D118" s="39" t="s">
        <v>680</v>
      </c>
      <c r="E118" s="52" t="s">
        <v>526</v>
      </c>
      <c r="F118" s="51" t="s">
        <v>524</v>
      </c>
      <c r="G118" s="55">
        <v>3</v>
      </c>
      <c r="H118" s="22">
        <v>1</v>
      </c>
      <c r="I118" s="55" t="s">
        <v>39</v>
      </c>
      <c r="J118" s="55" t="s">
        <v>69</v>
      </c>
      <c r="K118" s="56">
        <v>0</v>
      </c>
      <c r="L118" s="57" t="s">
        <v>110</v>
      </c>
      <c r="M118" s="58"/>
      <c r="N118" s="52" t="s">
        <v>524</v>
      </c>
      <c r="O118" s="59" t="s">
        <v>62</v>
      </c>
      <c r="P118" s="22">
        <v>0</v>
      </c>
      <c r="Q118" s="52" t="s">
        <v>61</v>
      </c>
      <c r="R118" s="22">
        <v>1</v>
      </c>
      <c r="Z118" s="60"/>
    </row>
    <row r="119" spans="1:26" s="52" customFormat="1" ht="14.4" x14ac:dyDescent="0.3">
      <c r="A119" s="30" t="s">
        <v>9</v>
      </c>
      <c r="B119" s="30"/>
      <c r="C119" s="11" t="s">
        <v>111</v>
      </c>
      <c r="D119" s="39" t="s">
        <v>680</v>
      </c>
      <c r="E119" s="52" t="s">
        <v>530</v>
      </c>
      <c r="F119" s="51" t="s">
        <v>528</v>
      </c>
      <c r="G119" s="55">
        <v>3</v>
      </c>
      <c r="H119" s="22">
        <v>2</v>
      </c>
      <c r="I119" s="55" t="s">
        <v>123</v>
      </c>
      <c r="J119" s="55" t="s">
        <v>124</v>
      </c>
      <c r="K119" s="56">
        <v>0</v>
      </c>
      <c r="L119" s="57" t="s">
        <v>125</v>
      </c>
      <c r="M119" s="58" t="s">
        <v>126</v>
      </c>
      <c r="O119" s="59" t="s">
        <v>62</v>
      </c>
      <c r="P119" s="22">
        <v>0</v>
      </c>
      <c r="Q119" s="52" t="s">
        <v>61</v>
      </c>
      <c r="R119" s="22">
        <v>1</v>
      </c>
      <c r="Z119" s="60"/>
    </row>
    <row r="120" spans="1:26" s="52" customFormat="1" ht="14.4" x14ac:dyDescent="0.3">
      <c r="A120" s="30" t="s">
        <v>9</v>
      </c>
      <c r="B120" s="30"/>
      <c r="C120" s="11" t="s">
        <v>111</v>
      </c>
      <c r="D120" s="39" t="s">
        <v>680</v>
      </c>
      <c r="E120" s="52" t="s">
        <v>531</v>
      </c>
      <c r="F120" s="51" t="s">
        <v>529</v>
      </c>
      <c r="G120" s="55">
        <v>3</v>
      </c>
      <c r="H120" s="22">
        <v>3</v>
      </c>
      <c r="I120" s="55" t="s">
        <v>39</v>
      </c>
      <c r="J120" s="55" t="s">
        <v>69</v>
      </c>
      <c r="K120" s="56">
        <v>0</v>
      </c>
      <c r="L120" s="57" t="s">
        <v>110</v>
      </c>
      <c r="M120" s="58"/>
      <c r="N120" s="52" t="s">
        <v>529</v>
      </c>
      <c r="O120" s="59" t="s">
        <v>62</v>
      </c>
      <c r="P120" s="22">
        <v>0</v>
      </c>
      <c r="Q120" s="52" t="s">
        <v>61</v>
      </c>
      <c r="R120" s="22">
        <v>1</v>
      </c>
      <c r="Z120" s="60"/>
    </row>
    <row r="121" spans="1:26" s="52" customFormat="1" ht="14.4" x14ac:dyDescent="0.3">
      <c r="A121" s="30" t="s">
        <v>9</v>
      </c>
      <c r="B121" s="30"/>
      <c r="C121" s="11" t="s">
        <v>111</v>
      </c>
      <c r="D121" s="39" t="s">
        <v>680</v>
      </c>
      <c r="E121" s="52" t="s">
        <v>535</v>
      </c>
      <c r="F121" s="51" t="s">
        <v>533</v>
      </c>
      <c r="G121" s="55">
        <v>4</v>
      </c>
      <c r="H121" s="22">
        <v>0</v>
      </c>
      <c r="I121" s="55" t="s">
        <v>123</v>
      </c>
      <c r="J121" s="55" t="s">
        <v>124</v>
      </c>
      <c r="K121" s="56">
        <v>0</v>
      </c>
      <c r="L121" s="57" t="s">
        <v>125</v>
      </c>
      <c r="M121" s="58" t="s">
        <v>126</v>
      </c>
      <c r="O121" s="59" t="s">
        <v>62</v>
      </c>
      <c r="P121" s="22">
        <v>0</v>
      </c>
      <c r="Q121" s="52" t="s">
        <v>61</v>
      </c>
      <c r="R121" s="22">
        <v>1</v>
      </c>
      <c r="Z121" s="60"/>
    </row>
    <row r="122" spans="1:26" s="52" customFormat="1" ht="14.4" x14ac:dyDescent="0.3">
      <c r="A122" s="30" t="s">
        <v>9</v>
      </c>
      <c r="B122" s="30"/>
      <c r="C122" s="11" t="s">
        <v>111</v>
      </c>
      <c r="D122" s="39" t="s">
        <v>680</v>
      </c>
      <c r="E122" s="52" t="s">
        <v>534</v>
      </c>
      <c r="F122" s="51" t="s">
        <v>532</v>
      </c>
      <c r="G122" s="55">
        <v>4</v>
      </c>
      <c r="H122" s="22">
        <v>1</v>
      </c>
      <c r="I122" s="55" t="s">
        <v>39</v>
      </c>
      <c r="J122" s="55" t="s">
        <v>69</v>
      </c>
      <c r="K122" s="56">
        <v>0</v>
      </c>
      <c r="L122" s="57" t="s">
        <v>110</v>
      </c>
      <c r="M122" s="58"/>
      <c r="N122" s="52" t="s">
        <v>690</v>
      </c>
      <c r="O122" s="59" t="s">
        <v>62</v>
      </c>
      <c r="P122" s="22">
        <v>0</v>
      </c>
      <c r="Q122" s="52" t="s">
        <v>61</v>
      </c>
      <c r="R122" s="22">
        <v>1</v>
      </c>
      <c r="Z122" s="60"/>
    </row>
    <row r="123" spans="1:26" s="52" customFormat="1" ht="14.4" x14ac:dyDescent="0.3">
      <c r="A123" s="30" t="s">
        <v>9</v>
      </c>
      <c r="B123" s="30"/>
      <c r="C123" s="11" t="s">
        <v>111</v>
      </c>
      <c r="D123" s="39" t="s">
        <v>680</v>
      </c>
      <c r="E123" s="52" t="s">
        <v>536</v>
      </c>
      <c r="F123" s="51" t="s">
        <v>537</v>
      </c>
      <c r="G123" s="55">
        <v>4</v>
      </c>
      <c r="H123" s="22">
        <v>2</v>
      </c>
      <c r="I123" s="55" t="s">
        <v>123</v>
      </c>
      <c r="J123" s="55" t="s">
        <v>124</v>
      </c>
      <c r="K123" s="56">
        <v>0</v>
      </c>
      <c r="L123" s="57" t="s">
        <v>125</v>
      </c>
      <c r="M123" s="58" t="s">
        <v>126</v>
      </c>
      <c r="O123" s="59" t="s">
        <v>62</v>
      </c>
      <c r="P123" s="22">
        <v>0</v>
      </c>
      <c r="Q123" s="52" t="s">
        <v>61</v>
      </c>
      <c r="R123" s="22">
        <v>1</v>
      </c>
      <c r="Z123" s="60"/>
    </row>
    <row r="124" spans="1:26" s="52" customFormat="1" ht="14.4" x14ac:dyDescent="0.3">
      <c r="A124" s="30" t="s">
        <v>9</v>
      </c>
      <c r="B124" s="30"/>
      <c r="C124" s="11" t="s">
        <v>111</v>
      </c>
      <c r="D124" s="39" t="s">
        <v>680</v>
      </c>
      <c r="E124" s="52" t="s">
        <v>539</v>
      </c>
      <c r="F124" s="51" t="s">
        <v>538</v>
      </c>
      <c r="G124" s="55">
        <v>4</v>
      </c>
      <c r="H124" s="22">
        <v>3</v>
      </c>
      <c r="I124" s="55" t="s">
        <v>39</v>
      </c>
      <c r="J124" s="55" t="s">
        <v>69</v>
      </c>
      <c r="K124" s="56">
        <v>0</v>
      </c>
      <c r="L124" s="57" t="s">
        <v>110</v>
      </c>
      <c r="M124" s="58"/>
      <c r="N124" s="52" t="s">
        <v>538</v>
      </c>
      <c r="O124" s="59" t="s">
        <v>62</v>
      </c>
      <c r="P124" s="22">
        <v>0</v>
      </c>
      <c r="Q124" s="52" t="s">
        <v>61</v>
      </c>
      <c r="R124" s="22">
        <v>1</v>
      </c>
      <c r="Z124" s="60"/>
    </row>
    <row r="125" spans="1:26" s="52" customFormat="1" ht="14.4" x14ac:dyDescent="0.3">
      <c r="A125" s="30" t="s">
        <v>9</v>
      </c>
      <c r="B125" s="30"/>
      <c r="C125" s="11" t="s">
        <v>111</v>
      </c>
      <c r="D125" s="39" t="s">
        <v>680</v>
      </c>
      <c r="E125" s="52" t="s">
        <v>548</v>
      </c>
      <c r="F125" s="51" t="s">
        <v>540</v>
      </c>
      <c r="G125" s="55">
        <v>5</v>
      </c>
      <c r="H125" s="22">
        <v>0</v>
      </c>
      <c r="I125" s="55" t="s">
        <v>123</v>
      </c>
      <c r="J125" s="55" t="s">
        <v>124</v>
      </c>
      <c r="K125" s="56">
        <v>0</v>
      </c>
      <c r="L125" s="57" t="s">
        <v>125</v>
      </c>
      <c r="M125" s="58" t="s">
        <v>126</v>
      </c>
      <c r="O125" s="59" t="s">
        <v>62</v>
      </c>
      <c r="P125" s="22">
        <v>0</v>
      </c>
      <c r="Q125" s="52" t="s">
        <v>61</v>
      </c>
      <c r="R125" s="22">
        <v>1</v>
      </c>
      <c r="Z125" s="60"/>
    </row>
    <row r="126" spans="1:26" s="52" customFormat="1" ht="14.4" x14ac:dyDescent="0.3">
      <c r="A126" s="30" t="s">
        <v>9</v>
      </c>
      <c r="B126" s="30"/>
      <c r="C126" s="11" t="s">
        <v>111</v>
      </c>
      <c r="D126" s="39" t="s">
        <v>680</v>
      </c>
      <c r="E126" s="52" t="s">
        <v>549</v>
      </c>
      <c r="F126" s="51" t="s">
        <v>541</v>
      </c>
      <c r="G126" s="55">
        <v>5</v>
      </c>
      <c r="H126" s="22">
        <v>1</v>
      </c>
      <c r="I126" s="55" t="s">
        <v>39</v>
      </c>
      <c r="J126" s="55" t="s">
        <v>54</v>
      </c>
      <c r="K126" s="56">
        <v>0</v>
      </c>
      <c r="L126" s="57" t="s">
        <v>110</v>
      </c>
      <c r="M126" s="58"/>
      <c r="N126" s="52" t="s">
        <v>541</v>
      </c>
      <c r="O126" s="59" t="s">
        <v>62</v>
      </c>
      <c r="P126" s="22">
        <v>0</v>
      </c>
      <c r="Q126" s="52" t="s">
        <v>61</v>
      </c>
      <c r="R126" s="22">
        <v>1</v>
      </c>
      <c r="Z126" s="60"/>
    </row>
    <row r="127" spans="1:26" s="52" customFormat="1" ht="14.4" x14ac:dyDescent="0.3">
      <c r="A127" s="30" t="s">
        <v>9</v>
      </c>
      <c r="B127" s="30"/>
      <c r="C127" s="11" t="s">
        <v>111</v>
      </c>
      <c r="D127" s="39" t="s">
        <v>680</v>
      </c>
      <c r="E127" s="52" t="s">
        <v>550</v>
      </c>
      <c r="F127" s="51" t="s">
        <v>542</v>
      </c>
      <c r="G127" s="55">
        <v>5</v>
      </c>
      <c r="H127" s="22">
        <v>2</v>
      </c>
      <c r="I127" s="55" t="s">
        <v>123</v>
      </c>
      <c r="J127" s="55" t="s">
        <v>124</v>
      </c>
      <c r="K127" s="56">
        <v>0</v>
      </c>
      <c r="L127" s="57" t="s">
        <v>125</v>
      </c>
      <c r="M127" s="58" t="s">
        <v>126</v>
      </c>
      <c r="O127" s="59" t="s">
        <v>62</v>
      </c>
      <c r="P127" s="22">
        <v>0</v>
      </c>
      <c r="Q127" s="52" t="s">
        <v>61</v>
      </c>
      <c r="R127" s="22">
        <v>1</v>
      </c>
      <c r="Z127" s="60"/>
    </row>
    <row r="128" spans="1:26" s="52" customFormat="1" ht="14.4" x14ac:dyDescent="0.3">
      <c r="A128" s="30" t="s">
        <v>9</v>
      </c>
      <c r="B128" s="30"/>
      <c r="C128" s="11" t="s">
        <v>111</v>
      </c>
      <c r="D128" s="39" t="s">
        <v>680</v>
      </c>
      <c r="E128" s="52" t="s">
        <v>551</v>
      </c>
      <c r="F128" s="51" t="s">
        <v>543</v>
      </c>
      <c r="G128" s="55">
        <v>5</v>
      </c>
      <c r="H128" s="22">
        <v>3</v>
      </c>
      <c r="I128" s="55" t="s">
        <v>39</v>
      </c>
      <c r="J128" s="55" t="s">
        <v>69</v>
      </c>
      <c r="K128" s="56">
        <v>0</v>
      </c>
      <c r="L128" s="57" t="s">
        <v>110</v>
      </c>
      <c r="M128" s="58"/>
      <c r="N128" s="52" t="s">
        <v>543</v>
      </c>
      <c r="O128" s="59" t="s">
        <v>62</v>
      </c>
      <c r="P128" s="22">
        <v>0</v>
      </c>
      <c r="Q128" s="52" t="s">
        <v>61</v>
      </c>
      <c r="R128" s="22">
        <v>1</v>
      </c>
      <c r="Z128" s="60"/>
    </row>
    <row r="129" spans="1:26" s="52" customFormat="1" ht="14.4" x14ac:dyDescent="0.3">
      <c r="A129" s="30" t="s">
        <v>9</v>
      </c>
      <c r="B129" s="30"/>
      <c r="C129" s="11" t="s">
        <v>111</v>
      </c>
      <c r="D129" s="39" t="s">
        <v>680</v>
      </c>
      <c r="E129" s="52" t="s">
        <v>552</v>
      </c>
      <c r="F129" s="51" t="s">
        <v>544</v>
      </c>
      <c r="G129" s="55">
        <v>6</v>
      </c>
      <c r="H129" s="22">
        <v>0</v>
      </c>
      <c r="I129" s="55" t="s">
        <v>123</v>
      </c>
      <c r="J129" s="55" t="s">
        <v>124</v>
      </c>
      <c r="K129" s="56">
        <v>0</v>
      </c>
      <c r="L129" s="57" t="s">
        <v>125</v>
      </c>
      <c r="M129" s="58" t="s">
        <v>126</v>
      </c>
      <c r="O129" s="59" t="s">
        <v>62</v>
      </c>
      <c r="P129" s="22">
        <v>0</v>
      </c>
      <c r="Q129" s="52" t="s">
        <v>61</v>
      </c>
      <c r="R129" s="22">
        <v>1</v>
      </c>
      <c r="Z129" s="60"/>
    </row>
    <row r="130" spans="1:26" s="52" customFormat="1" ht="14.4" x14ac:dyDescent="0.3">
      <c r="A130" s="30" t="s">
        <v>9</v>
      </c>
      <c r="B130" s="30"/>
      <c r="C130" s="11" t="s">
        <v>111</v>
      </c>
      <c r="D130" s="39" t="s">
        <v>680</v>
      </c>
      <c r="E130" s="52" t="s">
        <v>553</v>
      </c>
      <c r="F130" s="51" t="s">
        <v>545</v>
      </c>
      <c r="G130" s="55">
        <v>6</v>
      </c>
      <c r="H130" s="22">
        <v>1</v>
      </c>
      <c r="I130" s="55" t="s">
        <v>39</v>
      </c>
      <c r="J130" s="55" t="s">
        <v>69</v>
      </c>
      <c r="K130" s="56">
        <v>0</v>
      </c>
      <c r="L130" s="57" t="s">
        <v>110</v>
      </c>
      <c r="M130" s="58"/>
      <c r="N130" s="52" t="s">
        <v>661</v>
      </c>
      <c r="O130" s="59" t="s">
        <v>62</v>
      </c>
      <c r="P130" s="22">
        <v>0</v>
      </c>
      <c r="Q130" s="52" t="s">
        <v>61</v>
      </c>
      <c r="R130" s="22">
        <v>1</v>
      </c>
      <c r="Z130" s="60"/>
    </row>
    <row r="131" spans="1:26" s="52" customFormat="1" ht="14.4" x14ac:dyDescent="0.3">
      <c r="A131" s="30" t="s">
        <v>9</v>
      </c>
      <c r="B131" s="30"/>
      <c r="C131" s="11" t="s">
        <v>111</v>
      </c>
      <c r="D131" s="39" t="s">
        <v>680</v>
      </c>
      <c r="E131" s="52" t="s">
        <v>555</v>
      </c>
      <c r="F131" s="51" t="s">
        <v>546</v>
      </c>
      <c r="G131" s="55">
        <v>6</v>
      </c>
      <c r="H131" s="22">
        <v>2</v>
      </c>
      <c r="I131" s="55" t="s">
        <v>123</v>
      </c>
      <c r="J131" s="55" t="s">
        <v>124</v>
      </c>
      <c r="K131" s="56">
        <v>0</v>
      </c>
      <c r="L131" s="57" t="s">
        <v>125</v>
      </c>
      <c r="M131" s="58" t="s">
        <v>126</v>
      </c>
      <c r="O131" s="59" t="s">
        <v>62</v>
      </c>
      <c r="P131" s="22">
        <v>0</v>
      </c>
      <c r="Q131" s="52" t="s">
        <v>61</v>
      </c>
      <c r="R131" s="22">
        <v>1</v>
      </c>
      <c r="Z131" s="60"/>
    </row>
    <row r="132" spans="1:26" s="52" customFormat="1" ht="14.4" x14ac:dyDescent="0.3">
      <c r="A132" s="30" t="s">
        <v>9</v>
      </c>
      <c r="B132" s="30"/>
      <c r="C132" s="11" t="s">
        <v>111</v>
      </c>
      <c r="D132" s="39" t="s">
        <v>680</v>
      </c>
      <c r="E132" s="52" t="s">
        <v>554</v>
      </c>
      <c r="F132" s="51" t="s">
        <v>547</v>
      </c>
      <c r="G132" s="55">
        <v>6</v>
      </c>
      <c r="H132" s="22">
        <v>3</v>
      </c>
      <c r="I132" s="55" t="s">
        <v>39</v>
      </c>
      <c r="J132" s="55" t="s">
        <v>69</v>
      </c>
      <c r="K132" s="56">
        <v>0</v>
      </c>
      <c r="L132" s="57" t="s">
        <v>110</v>
      </c>
      <c r="M132" s="58"/>
      <c r="N132" s="52" t="s">
        <v>660</v>
      </c>
      <c r="O132" s="59" t="s">
        <v>62</v>
      </c>
      <c r="P132" s="22">
        <v>0</v>
      </c>
      <c r="Q132" s="52" t="s">
        <v>61</v>
      </c>
      <c r="R132" s="22">
        <v>1</v>
      </c>
      <c r="Z132" s="60"/>
    </row>
    <row r="133" spans="1:26" s="52" customFormat="1" ht="14.4" x14ac:dyDescent="0.3">
      <c r="A133" s="30" t="s">
        <v>9</v>
      </c>
      <c r="B133" s="30"/>
      <c r="C133" s="11" t="s">
        <v>111</v>
      </c>
      <c r="D133" s="39" t="s">
        <v>680</v>
      </c>
      <c r="E133" s="52" t="s">
        <v>697</v>
      </c>
      <c r="F133" s="51" t="s">
        <v>698</v>
      </c>
      <c r="G133" s="55">
        <v>10</v>
      </c>
      <c r="H133" s="22">
        <v>3</v>
      </c>
      <c r="I133" s="55" t="s">
        <v>39</v>
      </c>
      <c r="J133" s="55" t="s">
        <v>54</v>
      </c>
      <c r="K133" s="56">
        <v>0</v>
      </c>
      <c r="L133" s="57" t="s">
        <v>110</v>
      </c>
      <c r="M133" s="58"/>
      <c r="N133" s="52" t="s">
        <v>699</v>
      </c>
      <c r="O133" s="59" t="s">
        <v>62</v>
      </c>
      <c r="P133" s="22">
        <v>0</v>
      </c>
      <c r="Q133" s="52" t="s">
        <v>61</v>
      </c>
      <c r="R133" s="22">
        <v>1</v>
      </c>
      <c r="Z133" s="60"/>
    </row>
    <row r="134" spans="1:26" s="52" customFormat="1" ht="14.4" x14ac:dyDescent="0.3">
      <c r="A134" s="30" t="s">
        <v>9</v>
      </c>
      <c r="B134" s="30"/>
      <c r="C134" s="11" t="s">
        <v>111</v>
      </c>
      <c r="D134" s="39" t="s">
        <v>680</v>
      </c>
      <c r="E134" s="52" t="s">
        <v>704</v>
      </c>
      <c r="F134" s="51" t="s">
        <v>701</v>
      </c>
      <c r="G134" s="55">
        <v>10</v>
      </c>
      <c r="H134" s="22">
        <v>2</v>
      </c>
      <c r="I134" s="55" t="s">
        <v>123</v>
      </c>
      <c r="J134" s="55" t="s">
        <v>124</v>
      </c>
      <c r="K134" s="56">
        <v>0</v>
      </c>
      <c r="L134" s="57" t="s">
        <v>125</v>
      </c>
      <c r="M134" s="58" t="s">
        <v>126</v>
      </c>
      <c r="O134" s="59" t="s">
        <v>62</v>
      </c>
      <c r="P134" s="22">
        <v>0</v>
      </c>
      <c r="Q134" s="52" t="s">
        <v>61</v>
      </c>
      <c r="R134" s="22">
        <v>1</v>
      </c>
      <c r="Z134" s="60"/>
    </row>
    <row r="135" spans="1:26" x14ac:dyDescent="0.25">
      <c r="A135" s="30"/>
      <c r="B135" s="30"/>
      <c r="C135" s="11"/>
      <c r="D135" s="39"/>
      <c r="F135" s="39"/>
      <c r="G135" s="39"/>
      <c r="H135" s="39"/>
      <c r="I135" s="27"/>
      <c r="K135" s="37"/>
      <c r="M135" s="35"/>
      <c r="N135"/>
      <c r="O135" s="46"/>
      <c r="Q135" s="39"/>
      <c r="R135" s="39"/>
    </row>
    <row r="136" spans="1:26" x14ac:dyDescent="0.25">
      <c r="A136" s="31" t="s">
        <v>9</v>
      </c>
      <c r="B136" s="31"/>
      <c r="C136" s="32" t="s">
        <v>111</v>
      </c>
      <c r="D136" s="18"/>
      <c r="E136" s="33" t="s">
        <v>681</v>
      </c>
      <c r="F136" s="32"/>
      <c r="G136" s="20">
        <v>1</v>
      </c>
      <c r="H136" s="20">
        <v>0</v>
      </c>
      <c r="I136" s="26"/>
      <c r="J136" s="26" t="s">
        <v>38</v>
      </c>
      <c r="K136" s="24"/>
      <c r="L136" s="21"/>
      <c r="M136" s="19"/>
      <c r="N136" s="23" t="s">
        <v>682</v>
      </c>
      <c r="O136" s="66" t="s">
        <v>32</v>
      </c>
      <c r="P136" s="33" t="s">
        <v>658</v>
      </c>
      <c r="Q136" s="33" t="s">
        <v>49</v>
      </c>
      <c r="R136" s="33" t="s">
        <v>68</v>
      </c>
      <c r="S136" s="33"/>
      <c r="T136" s="33"/>
      <c r="U136" s="33"/>
      <c r="V136" s="33"/>
      <c r="W136" s="23"/>
      <c r="X136" s="23"/>
      <c r="Y136" s="23"/>
      <c r="Z136" s="40"/>
    </row>
    <row r="137" spans="1:26" ht="14.4" x14ac:dyDescent="0.3">
      <c r="A137" s="30"/>
      <c r="B137" s="30"/>
      <c r="C137" s="11"/>
      <c r="D137" s="39"/>
      <c r="F137" s="51"/>
      <c r="G137" s="39"/>
      <c r="H137" s="22"/>
      <c r="I137" s="39"/>
      <c r="J137" s="39"/>
      <c r="N137"/>
      <c r="O137" s="46"/>
      <c r="P137"/>
      <c r="Q137"/>
      <c r="R137" s="42"/>
      <c r="Z137" s="39"/>
    </row>
    <row r="138" spans="1:26" s="52" customFormat="1" ht="14.4" x14ac:dyDescent="0.3">
      <c r="A138" s="30" t="s">
        <v>9</v>
      </c>
      <c r="B138" s="30"/>
      <c r="C138" s="11" t="s">
        <v>111</v>
      </c>
      <c r="D138" s="39" t="s">
        <v>681</v>
      </c>
      <c r="E138" t="s">
        <v>587</v>
      </c>
      <c r="F138" s="51" t="s">
        <v>578</v>
      </c>
      <c r="G138" s="39">
        <v>0</v>
      </c>
      <c r="H138" s="39">
        <v>0</v>
      </c>
      <c r="I138" s="55" t="s">
        <v>123</v>
      </c>
      <c r="J138" s="55" t="s">
        <v>124</v>
      </c>
      <c r="K138" s="56">
        <v>0</v>
      </c>
      <c r="L138" s="57" t="s">
        <v>125</v>
      </c>
      <c r="M138" s="58" t="s">
        <v>126</v>
      </c>
      <c r="O138" s="59"/>
      <c r="P138" s="22"/>
      <c r="R138" s="22"/>
      <c r="Z138" s="60"/>
    </row>
    <row r="139" spans="1:26" s="52" customFormat="1" ht="14.4" x14ac:dyDescent="0.3">
      <c r="A139" s="30" t="s">
        <v>9</v>
      </c>
      <c r="B139" s="30"/>
      <c r="C139" s="11" t="s">
        <v>111</v>
      </c>
      <c r="D139" s="39" t="s">
        <v>681</v>
      </c>
      <c r="E139" t="s">
        <v>604</v>
      </c>
      <c r="F139" s="51"/>
      <c r="G139" s="39">
        <v>0</v>
      </c>
      <c r="H139" s="39">
        <v>1</v>
      </c>
      <c r="I139" s="55"/>
      <c r="J139" s="55" t="s">
        <v>55</v>
      </c>
      <c r="K139" s="56">
        <v>0</v>
      </c>
      <c r="L139" s="57" t="s">
        <v>605</v>
      </c>
      <c r="M139" s="58"/>
      <c r="N139" s="55" t="s">
        <v>578</v>
      </c>
      <c r="O139" s="59"/>
      <c r="P139" s="22"/>
      <c r="R139" s="22"/>
      <c r="Z139" s="60"/>
    </row>
    <row r="140" spans="1:26" s="52" customFormat="1" ht="14.4" x14ac:dyDescent="0.3">
      <c r="A140" s="30" t="s">
        <v>9</v>
      </c>
      <c r="B140" s="30"/>
      <c r="C140" s="11" t="s">
        <v>111</v>
      </c>
      <c r="D140" s="39" t="s">
        <v>681</v>
      </c>
      <c r="E140" t="s">
        <v>588</v>
      </c>
      <c r="F140" s="51" t="s">
        <v>579</v>
      </c>
      <c r="G140" s="55">
        <v>0</v>
      </c>
      <c r="H140" s="22">
        <v>2</v>
      </c>
      <c r="I140" s="55" t="s">
        <v>123</v>
      </c>
      <c r="J140" s="55" t="s">
        <v>124</v>
      </c>
      <c r="K140" s="56">
        <v>0</v>
      </c>
      <c r="L140" s="57" t="s">
        <v>125</v>
      </c>
      <c r="M140" s="58" t="s">
        <v>126</v>
      </c>
      <c r="N140" s="55"/>
      <c r="O140" s="59"/>
      <c r="P140" s="22"/>
      <c r="R140" s="22"/>
      <c r="Z140" s="60"/>
    </row>
    <row r="141" spans="1:26" s="52" customFormat="1" ht="14.4" x14ac:dyDescent="0.3">
      <c r="A141" s="30" t="s">
        <v>9</v>
      </c>
      <c r="B141" s="30"/>
      <c r="C141" s="11" t="s">
        <v>111</v>
      </c>
      <c r="D141" s="39" t="s">
        <v>681</v>
      </c>
      <c r="E141" t="s">
        <v>603</v>
      </c>
      <c r="F141" s="51"/>
      <c r="G141" s="55">
        <v>0</v>
      </c>
      <c r="H141" s="22">
        <v>3</v>
      </c>
      <c r="I141" s="55"/>
      <c r="J141" s="55" t="s">
        <v>55</v>
      </c>
      <c r="K141" s="56">
        <v>0</v>
      </c>
      <c r="L141" s="57" t="s">
        <v>605</v>
      </c>
      <c r="M141" s="58"/>
      <c r="N141" s="55" t="s">
        <v>579</v>
      </c>
      <c r="O141" s="59"/>
      <c r="P141" s="22"/>
      <c r="R141" s="22"/>
      <c r="Z141" s="60"/>
    </row>
    <row r="142" spans="1:26" s="52" customFormat="1" ht="14.4" x14ac:dyDescent="0.3">
      <c r="A142" s="30" t="s">
        <v>9</v>
      </c>
      <c r="B142" s="30"/>
      <c r="C142" s="11" t="s">
        <v>111</v>
      </c>
      <c r="D142" s="39" t="s">
        <v>681</v>
      </c>
      <c r="E142" t="s">
        <v>589</v>
      </c>
      <c r="F142" s="51" t="s">
        <v>580</v>
      </c>
      <c r="G142" s="55">
        <v>1</v>
      </c>
      <c r="H142" s="22">
        <v>0</v>
      </c>
      <c r="I142" s="55" t="s">
        <v>123</v>
      </c>
      <c r="J142" s="55" t="s">
        <v>124</v>
      </c>
      <c r="K142" s="56">
        <v>0</v>
      </c>
      <c r="L142" s="57" t="s">
        <v>125</v>
      </c>
      <c r="M142" s="58" t="s">
        <v>126</v>
      </c>
      <c r="N142" s="55"/>
      <c r="O142" s="59"/>
      <c r="P142" s="22"/>
      <c r="R142" s="22"/>
      <c r="Z142" s="60"/>
    </row>
    <row r="143" spans="1:26" s="52" customFormat="1" ht="14.4" x14ac:dyDescent="0.3">
      <c r="A143" s="30" t="s">
        <v>9</v>
      </c>
      <c r="B143" s="30"/>
      <c r="C143" s="11" t="s">
        <v>111</v>
      </c>
      <c r="D143" s="39" t="s">
        <v>681</v>
      </c>
      <c r="E143" t="s">
        <v>602</v>
      </c>
      <c r="F143" s="51"/>
      <c r="G143" s="55">
        <v>1</v>
      </c>
      <c r="H143" s="22">
        <v>1</v>
      </c>
      <c r="I143" s="55"/>
      <c r="J143" s="55" t="s">
        <v>55</v>
      </c>
      <c r="K143" s="56">
        <v>0</v>
      </c>
      <c r="L143" s="57" t="s">
        <v>605</v>
      </c>
      <c r="M143" s="58"/>
      <c r="N143" s="55" t="s">
        <v>580</v>
      </c>
      <c r="O143" s="59"/>
      <c r="P143" s="22"/>
      <c r="R143" s="22"/>
      <c r="Z143" s="60"/>
    </row>
    <row r="144" spans="1:26" s="52" customFormat="1" ht="14.4" x14ac:dyDescent="0.3">
      <c r="A144" s="30" t="s">
        <v>9</v>
      </c>
      <c r="B144" s="30"/>
      <c r="C144" s="11" t="s">
        <v>111</v>
      </c>
      <c r="D144" s="39" t="s">
        <v>681</v>
      </c>
      <c r="E144" t="s">
        <v>590</v>
      </c>
      <c r="F144" s="51" t="s">
        <v>581</v>
      </c>
      <c r="G144" s="55">
        <v>1</v>
      </c>
      <c r="H144" s="22">
        <v>2</v>
      </c>
      <c r="I144" s="55" t="s">
        <v>123</v>
      </c>
      <c r="J144" s="55" t="s">
        <v>124</v>
      </c>
      <c r="K144" s="56">
        <v>0</v>
      </c>
      <c r="L144" s="57" t="s">
        <v>125</v>
      </c>
      <c r="M144" s="58" t="s">
        <v>126</v>
      </c>
      <c r="N144" s="55"/>
      <c r="O144" s="59"/>
      <c r="P144" s="22"/>
      <c r="R144" s="22"/>
      <c r="Z144" s="60"/>
    </row>
    <row r="145" spans="1:26" s="52" customFormat="1" ht="14.4" x14ac:dyDescent="0.3">
      <c r="A145" s="30" t="s">
        <v>9</v>
      </c>
      <c r="B145" s="30"/>
      <c r="C145" s="11" t="s">
        <v>111</v>
      </c>
      <c r="D145" s="39" t="s">
        <v>681</v>
      </c>
      <c r="E145" t="s">
        <v>601</v>
      </c>
      <c r="F145" s="51"/>
      <c r="G145" s="55">
        <v>1</v>
      </c>
      <c r="H145" s="22">
        <v>3</v>
      </c>
      <c r="I145" s="55"/>
      <c r="J145" s="55" t="s">
        <v>55</v>
      </c>
      <c r="K145" s="56">
        <v>0</v>
      </c>
      <c r="L145" s="57" t="s">
        <v>605</v>
      </c>
      <c r="M145" s="58"/>
      <c r="N145" s="55" t="s">
        <v>581</v>
      </c>
      <c r="O145" s="59"/>
      <c r="P145" s="22"/>
      <c r="R145" s="22"/>
      <c r="Z145" s="60"/>
    </row>
    <row r="146" spans="1:26" s="52" customFormat="1" ht="14.4" x14ac:dyDescent="0.3">
      <c r="A146" s="30" t="s">
        <v>9</v>
      </c>
      <c r="B146" s="30"/>
      <c r="C146" s="11" t="s">
        <v>111</v>
      </c>
      <c r="D146" s="39" t="s">
        <v>681</v>
      </c>
      <c r="E146" t="s">
        <v>591</v>
      </c>
      <c r="F146" s="51" t="s">
        <v>582</v>
      </c>
      <c r="G146" s="55">
        <v>2</v>
      </c>
      <c r="H146" s="22">
        <v>0</v>
      </c>
      <c r="I146" s="55" t="s">
        <v>123</v>
      </c>
      <c r="J146" s="55" t="s">
        <v>124</v>
      </c>
      <c r="K146" s="56">
        <v>0</v>
      </c>
      <c r="L146" s="57" t="s">
        <v>125</v>
      </c>
      <c r="M146" s="58" t="s">
        <v>126</v>
      </c>
      <c r="N146" s="55"/>
      <c r="O146" s="59"/>
      <c r="P146" s="22"/>
      <c r="R146" s="22"/>
      <c r="Z146" s="60"/>
    </row>
    <row r="147" spans="1:26" s="52" customFormat="1" ht="14.4" x14ac:dyDescent="0.3">
      <c r="A147" s="30" t="s">
        <v>9</v>
      </c>
      <c r="B147" s="30"/>
      <c r="C147" s="11" t="s">
        <v>111</v>
      </c>
      <c r="D147" s="39" t="s">
        <v>681</v>
      </c>
      <c r="E147" t="s">
        <v>600</v>
      </c>
      <c r="F147" s="51"/>
      <c r="G147" s="55">
        <v>2</v>
      </c>
      <c r="H147" s="22">
        <v>1</v>
      </c>
      <c r="I147" s="55"/>
      <c r="J147" s="55" t="s">
        <v>55</v>
      </c>
      <c r="K147" s="56">
        <v>0</v>
      </c>
      <c r="L147" s="57" t="s">
        <v>605</v>
      </c>
      <c r="M147" s="58"/>
      <c r="N147" s="55" t="s">
        <v>582</v>
      </c>
      <c r="O147" s="59"/>
      <c r="P147" s="22"/>
      <c r="R147" s="22"/>
      <c r="Z147" s="60"/>
    </row>
    <row r="148" spans="1:26" s="52" customFormat="1" ht="14.4" x14ac:dyDescent="0.3">
      <c r="A148" s="30" t="s">
        <v>9</v>
      </c>
      <c r="B148" s="30"/>
      <c r="C148" s="11" t="s">
        <v>111</v>
      </c>
      <c r="D148" s="39" t="s">
        <v>681</v>
      </c>
      <c r="E148" t="s">
        <v>692</v>
      </c>
      <c r="F148" s="51" t="s">
        <v>691</v>
      </c>
      <c r="G148" s="55">
        <v>2</v>
      </c>
      <c r="H148" s="22">
        <v>2</v>
      </c>
      <c r="I148" s="55" t="s">
        <v>123</v>
      </c>
      <c r="J148" s="55" t="s">
        <v>124</v>
      </c>
      <c r="K148" s="56">
        <v>0</v>
      </c>
      <c r="L148" s="57" t="s">
        <v>125</v>
      </c>
      <c r="M148" s="58" t="s">
        <v>126</v>
      </c>
      <c r="N148" s="55"/>
      <c r="O148" s="59"/>
      <c r="P148" s="22"/>
      <c r="R148" s="22"/>
      <c r="Z148" s="60"/>
    </row>
    <row r="149" spans="1:26" s="52" customFormat="1" ht="14.4" x14ac:dyDescent="0.3">
      <c r="A149" s="30" t="s">
        <v>9</v>
      </c>
      <c r="B149" s="30"/>
      <c r="C149" s="11" t="s">
        <v>111</v>
      </c>
      <c r="D149" s="39" t="s">
        <v>681</v>
      </c>
      <c r="E149" t="s">
        <v>693</v>
      </c>
      <c r="F149" s="51"/>
      <c r="G149" s="55">
        <v>2</v>
      </c>
      <c r="H149" s="22">
        <v>3</v>
      </c>
      <c r="I149" s="55"/>
      <c r="J149" s="55" t="s">
        <v>55</v>
      </c>
      <c r="K149" s="56">
        <v>0</v>
      </c>
      <c r="L149" s="57" t="s">
        <v>605</v>
      </c>
      <c r="M149" s="58"/>
      <c r="N149" s="55" t="s">
        <v>691</v>
      </c>
      <c r="O149" s="59"/>
      <c r="P149" s="22"/>
      <c r="R149" s="22"/>
      <c r="Z149" s="60"/>
    </row>
    <row r="150" spans="1:26" s="52" customFormat="1" ht="14.4" x14ac:dyDescent="0.3">
      <c r="A150" s="30" t="s">
        <v>9</v>
      </c>
      <c r="B150" s="30"/>
      <c r="C150" s="11" t="s">
        <v>111</v>
      </c>
      <c r="D150" s="39" t="s">
        <v>681</v>
      </c>
      <c r="E150" t="s">
        <v>592</v>
      </c>
      <c r="F150" s="51" t="s">
        <v>583</v>
      </c>
      <c r="G150" s="55">
        <v>3</v>
      </c>
      <c r="H150" s="22">
        <v>0</v>
      </c>
      <c r="I150" s="55" t="s">
        <v>123</v>
      </c>
      <c r="J150" s="55" t="s">
        <v>124</v>
      </c>
      <c r="K150" s="56">
        <v>0</v>
      </c>
      <c r="L150" s="57" t="s">
        <v>125</v>
      </c>
      <c r="M150" s="58" t="s">
        <v>126</v>
      </c>
      <c r="N150" s="55"/>
      <c r="O150" s="59"/>
      <c r="P150" s="22"/>
      <c r="R150" s="22"/>
      <c r="Z150" s="60"/>
    </row>
    <row r="151" spans="1:26" s="52" customFormat="1" ht="14.4" x14ac:dyDescent="0.3">
      <c r="A151" s="30" t="s">
        <v>9</v>
      </c>
      <c r="B151" s="30"/>
      <c r="C151" s="11" t="s">
        <v>111</v>
      </c>
      <c r="D151" s="39" t="s">
        <v>681</v>
      </c>
      <c r="E151" t="s">
        <v>599</v>
      </c>
      <c r="F151" s="51"/>
      <c r="G151" s="55">
        <v>3</v>
      </c>
      <c r="H151" s="22">
        <v>1</v>
      </c>
      <c r="I151" s="55"/>
      <c r="J151" s="55" t="s">
        <v>55</v>
      </c>
      <c r="K151" s="56">
        <v>0</v>
      </c>
      <c r="L151" s="57" t="s">
        <v>605</v>
      </c>
      <c r="M151" s="58"/>
      <c r="N151" s="55" t="s">
        <v>583</v>
      </c>
      <c r="O151" s="59"/>
      <c r="P151" s="22"/>
      <c r="R151" s="22"/>
      <c r="Z151" s="60"/>
    </row>
    <row r="152" spans="1:26" s="52" customFormat="1" ht="14.4" x14ac:dyDescent="0.3">
      <c r="A152" s="30" t="s">
        <v>9</v>
      </c>
      <c r="B152" s="30"/>
      <c r="C152" s="11" t="s">
        <v>111</v>
      </c>
      <c r="D152" s="39" t="s">
        <v>681</v>
      </c>
      <c r="E152" t="s">
        <v>593</v>
      </c>
      <c r="F152" s="51" t="s">
        <v>584</v>
      </c>
      <c r="G152" s="55">
        <v>3</v>
      </c>
      <c r="H152" s="22">
        <v>2</v>
      </c>
      <c r="I152" s="55" t="s">
        <v>123</v>
      </c>
      <c r="J152" s="55" t="s">
        <v>124</v>
      </c>
      <c r="K152" s="56">
        <v>0</v>
      </c>
      <c r="L152" s="57" t="s">
        <v>125</v>
      </c>
      <c r="M152" s="58" t="s">
        <v>126</v>
      </c>
      <c r="N152" s="55"/>
      <c r="O152" s="59"/>
      <c r="P152" s="22"/>
      <c r="R152" s="22"/>
      <c r="Z152" s="60"/>
    </row>
    <row r="153" spans="1:26" s="52" customFormat="1" ht="14.4" x14ac:dyDescent="0.3">
      <c r="A153" s="30" t="s">
        <v>9</v>
      </c>
      <c r="B153" s="30"/>
      <c r="C153" s="11" t="s">
        <v>111</v>
      </c>
      <c r="D153" s="39" t="s">
        <v>681</v>
      </c>
      <c r="E153" t="s">
        <v>598</v>
      </c>
      <c r="F153" s="51"/>
      <c r="G153" s="55">
        <v>3</v>
      </c>
      <c r="H153" s="22">
        <v>3</v>
      </c>
      <c r="I153" s="55"/>
      <c r="J153" s="55" t="s">
        <v>55</v>
      </c>
      <c r="K153" s="56">
        <v>0</v>
      </c>
      <c r="L153" s="57" t="s">
        <v>605</v>
      </c>
      <c r="M153" s="58"/>
      <c r="N153" s="55" t="s">
        <v>584</v>
      </c>
      <c r="O153" s="59"/>
      <c r="P153" s="22"/>
      <c r="R153" s="22"/>
      <c r="Z153" s="60"/>
    </row>
    <row r="154" spans="1:26" s="52" customFormat="1" ht="14.4" x14ac:dyDescent="0.3">
      <c r="A154" s="30" t="s">
        <v>9</v>
      </c>
      <c r="B154" s="30"/>
      <c r="C154" s="11" t="s">
        <v>111</v>
      </c>
      <c r="D154" s="39" t="s">
        <v>681</v>
      </c>
      <c r="E154" t="s">
        <v>594</v>
      </c>
      <c r="F154" s="51" t="s">
        <v>585</v>
      </c>
      <c r="G154" s="55">
        <v>4</v>
      </c>
      <c r="H154" s="22">
        <v>0</v>
      </c>
      <c r="I154" s="55" t="s">
        <v>123</v>
      </c>
      <c r="J154" s="55" t="s">
        <v>124</v>
      </c>
      <c r="K154" s="56">
        <v>0</v>
      </c>
      <c r="L154" s="57" t="s">
        <v>125</v>
      </c>
      <c r="M154" s="58" t="s">
        <v>126</v>
      </c>
      <c r="N154" s="55"/>
      <c r="O154" s="59"/>
      <c r="P154" s="22"/>
      <c r="R154" s="22"/>
      <c r="Z154" s="60"/>
    </row>
    <row r="155" spans="1:26" s="52" customFormat="1" ht="14.4" x14ac:dyDescent="0.3">
      <c r="A155" s="30" t="s">
        <v>9</v>
      </c>
      <c r="B155" s="30"/>
      <c r="C155" s="11" t="s">
        <v>111</v>
      </c>
      <c r="D155" s="39" t="s">
        <v>681</v>
      </c>
      <c r="E155" t="s">
        <v>597</v>
      </c>
      <c r="F155" s="51"/>
      <c r="G155" s="55">
        <v>4</v>
      </c>
      <c r="H155" s="22">
        <v>1</v>
      </c>
      <c r="I155" s="55"/>
      <c r="J155" s="55" t="s">
        <v>55</v>
      </c>
      <c r="K155" s="56">
        <v>0</v>
      </c>
      <c r="L155" s="57" t="s">
        <v>605</v>
      </c>
      <c r="M155" s="58"/>
      <c r="N155" s="55" t="s">
        <v>585</v>
      </c>
      <c r="O155" s="59"/>
      <c r="P155" s="22"/>
      <c r="R155" s="22"/>
      <c r="Z155" s="60"/>
    </row>
    <row r="156" spans="1:26" ht="14.4" x14ac:dyDescent="0.3">
      <c r="A156" s="30" t="s">
        <v>9</v>
      </c>
      <c r="B156" s="30"/>
      <c r="C156" s="11" t="s">
        <v>111</v>
      </c>
      <c r="D156" s="39" t="s">
        <v>681</v>
      </c>
      <c r="E156" t="s">
        <v>595</v>
      </c>
      <c r="F156" s="51" t="s">
        <v>586</v>
      </c>
      <c r="G156" s="55">
        <v>4</v>
      </c>
      <c r="H156" s="22">
        <v>2</v>
      </c>
      <c r="I156" s="55" t="s">
        <v>123</v>
      </c>
      <c r="J156" s="55" t="s">
        <v>124</v>
      </c>
      <c r="K156" s="56">
        <v>0</v>
      </c>
      <c r="L156" s="57" t="s">
        <v>125</v>
      </c>
      <c r="M156" s="58" t="s">
        <v>126</v>
      </c>
      <c r="N156" s="55"/>
      <c r="O156" s="46"/>
      <c r="P156"/>
      <c r="Q156"/>
      <c r="R156" s="42"/>
      <c r="Z156" s="39"/>
    </row>
    <row r="157" spans="1:26" ht="14.4" x14ac:dyDescent="0.3">
      <c r="A157" s="30" t="s">
        <v>9</v>
      </c>
      <c r="B157" s="30"/>
      <c r="C157" s="11" t="s">
        <v>111</v>
      </c>
      <c r="D157" s="39" t="s">
        <v>681</v>
      </c>
      <c r="E157" t="s">
        <v>596</v>
      </c>
      <c r="F157" s="51"/>
      <c r="G157" s="55">
        <v>4</v>
      </c>
      <c r="H157" s="22">
        <v>3</v>
      </c>
      <c r="I157" s="55"/>
      <c r="J157" s="55" t="s">
        <v>55</v>
      </c>
      <c r="K157" s="56">
        <v>0</v>
      </c>
      <c r="L157" s="57" t="s">
        <v>605</v>
      </c>
      <c r="M157" s="58"/>
      <c r="N157" s="55" t="s">
        <v>586</v>
      </c>
      <c r="O157" s="46"/>
      <c r="P157"/>
      <c r="Q157"/>
      <c r="R157" s="42"/>
      <c r="Z157" s="39"/>
    </row>
    <row r="158" spans="1:26" ht="14.4" x14ac:dyDescent="0.3">
      <c r="A158" s="30"/>
      <c r="B158" s="30"/>
      <c r="C158" s="11"/>
      <c r="D158" s="39"/>
      <c r="F158" s="51"/>
      <c r="G158" s="39"/>
      <c r="H158" s="22"/>
      <c r="I158" s="39"/>
      <c r="J158" s="39"/>
      <c r="N158"/>
      <c r="O158" s="46"/>
      <c r="P158"/>
      <c r="Q158"/>
      <c r="R158" s="42"/>
      <c r="Z158" s="39"/>
    </row>
    <row r="159" spans="1:26" x14ac:dyDescent="0.25">
      <c r="A159" s="30"/>
      <c r="B159" s="30"/>
      <c r="C159" s="11"/>
      <c r="D159" s="52"/>
      <c r="E159" s="39"/>
      <c r="F159" s="11"/>
      <c r="G159" s="22"/>
      <c r="H159" s="22"/>
      <c r="I159" s="27"/>
      <c r="J159" s="27"/>
      <c r="K159" s="37"/>
      <c r="L159" s="29"/>
      <c r="M159" s="35"/>
      <c r="N159"/>
      <c r="O159" s="45"/>
      <c r="Q159" s="39"/>
      <c r="R159" s="39"/>
      <c r="S159" s="39"/>
      <c r="T159" s="39"/>
      <c r="U159" s="39"/>
      <c r="V159" s="39"/>
      <c r="Z159" s="38"/>
    </row>
    <row r="160" spans="1:26" x14ac:dyDescent="0.25">
      <c r="A160" s="31" t="s">
        <v>9</v>
      </c>
      <c r="B160" s="31"/>
      <c r="C160" s="32" t="s">
        <v>111</v>
      </c>
      <c r="D160" s="18"/>
      <c r="E160" s="33" t="s">
        <v>683</v>
      </c>
      <c r="F160" s="32"/>
      <c r="G160" s="20">
        <v>0</v>
      </c>
      <c r="H160" s="20">
        <v>4</v>
      </c>
      <c r="I160" s="26"/>
      <c r="J160" s="26" t="s">
        <v>38</v>
      </c>
      <c r="K160" s="24"/>
      <c r="L160" s="21"/>
      <c r="M160" s="19"/>
      <c r="N160" s="23" t="s">
        <v>684</v>
      </c>
      <c r="O160" s="66" t="s">
        <v>32</v>
      </c>
      <c r="P160" s="33" t="s">
        <v>658</v>
      </c>
      <c r="Q160" s="33" t="s">
        <v>49</v>
      </c>
      <c r="R160" s="33" t="s">
        <v>68</v>
      </c>
      <c r="S160" s="33"/>
      <c r="T160" s="33"/>
      <c r="U160" s="33"/>
      <c r="V160" s="33"/>
      <c r="W160" s="23"/>
      <c r="X160" s="23"/>
      <c r="Y160" s="23"/>
      <c r="Z160" s="40"/>
    </row>
    <row r="161" spans="1:26" ht="14.4" x14ac:dyDescent="0.3">
      <c r="A161" s="30"/>
      <c r="B161" s="30"/>
      <c r="C161" s="11"/>
      <c r="D161" s="39"/>
      <c r="F161" s="51"/>
      <c r="G161" s="39"/>
      <c r="H161" s="39"/>
      <c r="I161" s="27"/>
      <c r="J161" s="27"/>
      <c r="K161" s="37"/>
      <c r="L161" s="41"/>
      <c r="M161" s="35"/>
      <c r="N161"/>
      <c r="O161" s="46"/>
      <c r="P161" s="36"/>
      <c r="Q161"/>
      <c r="R161" s="43"/>
      <c r="S161" s="49"/>
      <c r="T161" s="43"/>
      <c r="U161" s="49"/>
      <c r="Z161" s="38"/>
    </row>
    <row r="162" spans="1:26" x14ac:dyDescent="0.25">
      <c r="A162" s="30" t="s">
        <v>9</v>
      </c>
      <c r="B162" s="30"/>
      <c r="C162" s="11" t="s">
        <v>111</v>
      </c>
      <c r="D162" s="39" t="s">
        <v>683</v>
      </c>
      <c r="E162" s="39" t="s">
        <v>625</v>
      </c>
      <c r="F162" s="11"/>
      <c r="G162" s="39">
        <v>4</v>
      </c>
      <c r="H162" s="39">
        <v>0</v>
      </c>
      <c r="I162" s="27"/>
      <c r="J162" s="27" t="s">
        <v>55</v>
      </c>
      <c r="K162" s="37"/>
      <c r="L162" s="28" t="s">
        <v>71</v>
      </c>
      <c r="M162" s="35"/>
      <c r="N162" s="11" t="s">
        <v>668</v>
      </c>
      <c r="O162" s="45"/>
      <c r="Q162" s="39"/>
      <c r="R162" s="39"/>
      <c r="S162" s="39"/>
      <c r="T162" s="39"/>
      <c r="U162" s="39"/>
      <c r="V162" s="39"/>
      <c r="Z162" s="38"/>
    </row>
    <row r="163" spans="1:26" ht="14.4" x14ac:dyDescent="0.3">
      <c r="A163" s="30" t="s">
        <v>9</v>
      </c>
      <c r="B163" s="30"/>
      <c r="C163" s="11" t="s">
        <v>111</v>
      </c>
      <c r="D163" s="39" t="s">
        <v>683</v>
      </c>
      <c r="E163" t="s">
        <v>623</v>
      </c>
      <c r="F163" s="51" t="s">
        <v>606</v>
      </c>
      <c r="G163" s="39">
        <v>5</v>
      </c>
      <c r="H163" s="39">
        <v>0</v>
      </c>
      <c r="I163" s="27" t="s">
        <v>39</v>
      </c>
      <c r="J163" s="27" t="s">
        <v>56</v>
      </c>
      <c r="K163" s="37">
        <v>0</v>
      </c>
      <c r="L163" s="41" t="s">
        <v>575</v>
      </c>
      <c r="M163" s="35"/>
      <c r="N163"/>
      <c r="O163" s="46" t="s">
        <v>57</v>
      </c>
      <c r="P163" s="36" t="s">
        <v>574</v>
      </c>
      <c r="Q163" t="s">
        <v>58</v>
      </c>
      <c r="R163" s="43" t="s">
        <v>488</v>
      </c>
      <c r="S163" s="49"/>
      <c r="T163" s="43"/>
      <c r="U163" s="49"/>
      <c r="Z163" s="38"/>
    </row>
    <row r="164" spans="1:26" ht="14.4" x14ac:dyDescent="0.3">
      <c r="A164" s="30" t="s">
        <v>9</v>
      </c>
      <c r="B164" s="30"/>
      <c r="C164" s="11" t="s">
        <v>111</v>
      </c>
      <c r="D164" s="39" t="s">
        <v>683</v>
      </c>
      <c r="E164" t="s">
        <v>624</v>
      </c>
      <c r="F164" s="51" t="s">
        <v>606</v>
      </c>
      <c r="G164" s="39">
        <v>6</v>
      </c>
      <c r="H164" s="39">
        <v>0</v>
      </c>
      <c r="I164" s="27" t="s">
        <v>39</v>
      </c>
      <c r="J164" t="s">
        <v>59</v>
      </c>
      <c r="K164" s="37"/>
      <c r="L164" s="28" t="s">
        <v>71</v>
      </c>
      <c r="M164" s="35"/>
      <c r="N164"/>
      <c r="O164" s="46" t="s">
        <v>60</v>
      </c>
      <c r="P164" s="39" t="s">
        <v>489</v>
      </c>
      <c r="Q164" s="39"/>
      <c r="R164" s="39"/>
    </row>
    <row r="165" spans="1:26" x14ac:dyDescent="0.25">
      <c r="A165" s="30" t="s">
        <v>9</v>
      </c>
      <c r="B165" s="30"/>
      <c r="C165" s="11" t="s">
        <v>111</v>
      </c>
      <c r="D165" s="39" t="s">
        <v>683</v>
      </c>
      <c r="E165" s="39" t="s">
        <v>627</v>
      </c>
      <c r="F165" s="11"/>
      <c r="G165" s="39">
        <v>4</v>
      </c>
      <c r="H165" s="39">
        <v>1</v>
      </c>
      <c r="I165" s="27"/>
      <c r="J165" s="27" t="s">
        <v>55</v>
      </c>
      <c r="K165" s="37"/>
      <c r="L165" s="28" t="s">
        <v>71</v>
      </c>
      <c r="M165" s="35"/>
      <c r="N165" t="s">
        <v>652</v>
      </c>
      <c r="O165" s="46"/>
      <c r="Q165" s="39"/>
      <c r="R165" s="39"/>
    </row>
    <row r="166" spans="1:26" ht="14.4" x14ac:dyDescent="0.3">
      <c r="A166" s="30" t="s">
        <v>9</v>
      </c>
      <c r="B166" s="30"/>
      <c r="C166" s="11" t="s">
        <v>111</v>
      </c>
      <c r="D166" s="39" t="s">
        <v>683</v>
      </c>
      <c r="E166" t="s">
        <v>626</v>
      </c>
      <c r="F166" s="51" t="s">
        <v>607</v>
      </c>
      <c r="G166" s="39">
        <v>5</v>
      </c>
      <c r="H166" s="39">
        <v>1</v>
      </c>
      <c r="I166" s="27" t="s">
        <v>39</v>
      </c>
      <c r="J166" s="27" t="s">
        <v>56</v>
      </c>
      <c r="K166" s="37">
        <v>0</v>
      </c>
      <c r="L166" s="41" t="s">
        <v>575</v>
      </c>
      <c r="M166" s="35"/>
      <c r="N166"/>
      <c r="O166" s="46" t="s">
        <v>57</v>
      </c>
      <c r="P166" s="36" t="s">
        <v>654</v>
      </c>
      <c r="Q166" t="s">
        <v>58</v>
      </c>
      <c r="R166" s="43" t="s">
        <v>655</v>
      </c>
      <c r="S166" s="49"/>
      <c r="T166" s="43"/>
      <c r="U166" s="49"/>
      <c r="Z166" s="38"/>
    </row>
    <row r="167" spans="1:26" ht="14.4" x14ac:dyDescent="0.3">
      <c r="A167" s="30" t="s">
        <v>9</v>
      </c>
      <c r="B167" s="30"/>
      <c r="C167" s="11" t="s">
        <v>111</v>
      </c>
      <c r="D167" s="39" t="s">
        <v>683</v>
      </c>
      <c r="E167" t="s">
        <v>628</v>
      </c>
      <c r="F167" s="51" t="s">
        <v>607</v>
      </c>
      <c r="G167" s="39">
        <v>6</v>
      </c>
      <c r="H167" s="39">
        <v>1</v>
      </c>
      <c r="I167" s="27" t="s">
        <v>39</v>
      </c>
      <c r="J167" t="s">
        <v>59</v>
      </c>
      <c r="K167" s="37"/>
      <c r="L167" s="28" t="s">
        <v>71</v>
      </c>
      <c r="M167" s="35"/>
      <c r="N167"/>
      <c r="O167" s="46" t="s">
        <v>60</v>
      </c>
      <c r="P167" s="39" t="s">
        <v>656</v>
      </c>
      <c r="Q167" s="39"/>
      <c r="R167" s="39"/>
    </row>
    <row r="168" spans="1:26" x14ac:dyDescent="0.25">
      <c r="A168" s="30" t="s">
        <v>9</v>
      </c>
      <c r="B168" s="30"/>
      <c r="C168" s="11" t="s">
        <v>111</v>
      </c>
      <c r="D168" s="39" t="s">
        <v>683</v>
      </c>
      <c r="E168" t="s">
        <v>630</v>
      </c>
      <c r="F168" s="11"/>
      <c r="G168" s="39">
        <v>4</v>
      </c>
      <c r="H168" s="39">
        <v>2</v>
      </c>
      <c r="I168" s="27"/>
      <c r="J168" s="27" t="s">
        <v>55</v>
      </c>
      <c r="K168" s="37"/>
      <c r="L168" s="28" t="s">
        <v>71</v>
      </c>
      <c r="M168" s="35"/>
      <c r="N168" s="11" t="s">
        <v>653</v>
      </c>
      <c r="O168" s="45"/>
      <c r="Q168" s="39"/>
      <c r="R168" s="39"/>
      <c r="S168" s="39"/>
      <c r="T168" s="39"/>
      <c r="U168" s="39"/>
      <c r="V168" s="39"/>
      <c r="Z168" s="38"/>
    </row>
    <row r="169" spans="1:26" ht="14.4" x14ac:dyDescent="0.3">
      <c r="A169" s="30" t="s">
        <v>9</v>
      </c>
      <c r="B169" s="30"/>
      <c r="C169" s="11" t="s">
        <v>111</v>
      </c>
      <c r="D169" s="39" t="s">
        <v>683</v>
      </c>
      <c r="E169" t="s">
        <v>629</v>
      </c>
      <c r="F169" s="51" t="s">
        <v>608</v>
      </c>
      <c r="G169" s="39">
        <v>5</v>
      </c>
      <c r="H169" s="39">
        <v>2</v>
      </c>
      <c r="I169" s="27" t="s">
        <v>39</v>
      </c>
      <c r="J169" s="27" t="s">
        <v>56</v>
      </c>
      <c r="K169" s="37">
        <v>0</v>
      </c>
      <c r="L169" s="41" t="s">
        <v>575</v>
      </c>
      <c r="M169" s="35"/>
      <c r="N169"/>
      <c r="O169" s="46" t="s">
        <v>57</v>
      </c>
      <c r="P169" s="36" t="s">
        <v>574</v>
      </c>
      <c r="Q169" t="s">
        <v>58</v>
      </c>
      <c r="R169" s="43" t="s">
        <v>488</v>
      </c>
      <c r="S169" s="49"/>
      <c r="T169" s="43"/>
      <c r="U169" s="49"/>
      <c r="Z169" s="38"/>
    </row>
    <row r="170" spans="1:26" ht="14.4" x14ac:dyDescent="0.3">
      <c r="A170" s="30" t="s">
        <v>9</v>
      </c>
      <c r="B170" s="30"/>
      <c r="C170" s="11" t="s">
        <v>111</v>
      </c>
      <c r="D170" s="39" t="s">
        <v>683</v>
      </c>
      <c r="E170" s="39" t="s">
        <v>631</v>
      </c>
      <c r="F170" s="51" t="s">
        <v>608</v>
      </c>
      <c r="G170" s="39">
        <v>6</v>
      </c>
      <c r="H170" s="39">
        <v>2</v>
      </c>
      <c r="I170" s="27" t="s">
        <v>39</v>
      </c>
      <c r="J170" t="s">
        <v>59</v>
      </c>
      <c r="K170" s="37"/>
      <c r="L170" s="28" t="s">
        <v>71</v>
      </c>
      <c r="M170" s="35"/>
      <c r="N170"/>
      <c r="O170" s="46" t="s">
        <v>60</v>
      </c>
      <c r="P170" s="39" t="s">
        <v>657</v>
      </c>
      <c r="Q170" s="39"/>
      <c r="R170" s="39"/>
    </row>
    <row r="171" spans="1:26" s="52" customFormat="1" ht="14.4" x14ac:dyDescent="0.3">
      <c r="A171" s="30" t="s">
        <v>9</v>
      </c>
      <c r="B171" s="30"/>
      <c r="C171" s="11" t="s">
        <v>111</v>
      </c>
      <c r="D171" s="39" t="s">
        <v>683</v>
      </c>
      <c r="E171" s="52" t="s">
        <v>612</v>
      </c>
      <c r="F171" s="51" t="s">
        <v>610</v>
      </c>
      <c r="G171" s="39">
        <v>0</v>
      </c>
      <c r="H171" s="39">
        <v>0</v>
      </c>
      <c r="I171" s="55" t="s">
        <v>123</v>
      </c>
      <c r="J171" s="55" t="s">
        <v>124</v>
      </c>
      <c r="K171" s="56">
        <v>0</v>
      </c>
      <c r="L171" s="57" t="s">
        <v>125</v>
      </c>
      <c r="M171" s="58" t="s">
        <v>126</v>
      </c>
      <c r="O171" s="59" t="s">
        <v>62</v>
      </c>
      <c r="P171" s="22">
        <v>0</v>
      </c>
      <c r="Q171" s="52" t="s">
        <v>61</v>
      </c>
      <c r="R171" s="22">
        <v>1</v>
      </c>
      <c r="Z171" s="60"/>
    </row>
    <row r="172" spans="1:26" s="52" customFormat="1" ht="14.4" x14ac:dyDescent="0.3">
      <c r="A172" s="30" t="s">
        <v>9</v>
      </c>
      <c r="B172" s="30"/>
      <c r="C172" s="11" t="s">
        <v>111</v>
      </c>
      <c r="D172" s="39" t="s">
        <v>683</v>
      </c>
      <c r="E172" s="52" t="s">
        <v>611</v>
      </c>
      <c r="F172" s="51" t="s">
        <v>609</v>
      </c>
      <c r="G172" s="39">
        <v>0</v>
      </c>
      <c r="H172" s="39">
        <v>1</v>
      </c>
      <c r="I172" s="55" t="s">
        <v>39</v>
      </c>
      <c r="J172" s="55" t="s">
        <v>69</v>
      </c>
      <c r="K172" s="56">
        <v>0</v>
      </c>
      <c r="L172" s="57" t="s">
        <v>110</v>
      </c>
      <c r="M172" s="58"/>
      <c r="N172" s="52" t="s">
        <v>609</v>
      </c>
      <c r="O172" s="59" t="s">
        <v>62</v>
      </c>
      <c r="P172" s="22">
        <v>0</v>
      </c>
      <c r="Q172" s="52" t="s">
        <v>61</v>
      </c>
      <c r="R172" s="22">
        <v>1</v>
      </c>
      <c r="Z172" s="60"/>
    </row>
    <row r="173" spans="1:26" s="52" customFormat="1" ht="14.4" x14ac:dyDescent="0.3">
      <c r="A173" s="30" t="s">
        <v>9</v>
      </c>
      <c r="B173" s="30"/>
      <c r="C173" s="11" t="s">
        <v>111</v>
      </c>
      <c r="D173" s="39" t="s">
        <v>683</v>
      </c>
      <c r="E173" s="52" t="s">
        <v>632</v>
      </c>
      <c r="F173" s="51" t="s">
        <v>614</v>
      </c>
      <c r="G173" s="55">
        <v>0</v>
      </c>
      <c r="H173" s="22">
        <v>2</v>
      </c>
      <c r="I173" s="55" t="s">
        <v>123</v>
      </c>
      <c r="J173" s="55" t="s">
        <v>124</v>
      </c>
      <c r="K173" s="56">
        <v>0</v>
      </c>
      <c r="L173" s="57" t="s">
        <v>125</v>
      </c>
      <c r="M173" s="58" t="s">
        <v>126</v>
      </c>
      <c r="O173" s="59" t="s">
        <v>62</v>
      </c>
      <c r="P173" s="22">
        <v>0</v>
      </c>
      <c r="Q173" s="52" t="s">
        <v>61</v>
      </c>
      <c r="R173" s="22">
        <v>1</v>
      </c>
      <c r="Z173" s="60"/>
    </row>
    <row r="174" spans="1:26" s="52" customFormat="1" ht="14.4" x14ac:dyDescent="0.3">
      <c r="A174" s="30" t="s">
        <v>9</v>
      </c>
      <c r="B174" s="30"/>
      <c r="C174" s="11" t="s">
        <v>111</v>
      </c>
      <c r="D174" s="39" t="s">
        <v>683</v>
      </c>
      <c r="E174" s="52" t="s">
        <v>633</v>
      </c>
      <c r="F174" s="51" t="s">
        <v>613</v>
      </c>
      <c r="G174" s="55">
        <v>0</v>
      </c>
      <c r="H174" s="22">
        <v>3</v>
      </c>
      <c r="I174" s="55" t="s">
        <v>39</v>
      </c>
      <c r="J174" s="55" t="s">
        <v>54</v>
      </c>
      <c r="K174" s="56">
        <v>0</v>
      </c>
      <c r="L174" s="57" t="s">
        <v>110</v>
      </c>
      <c r="M174" s="58"/>
      <c r="N174" s="52" t="s">
        <v>613</v>
      </c>
      <c r="O174" s="59" t="s">
        <v>62</v>
      </c>
      <c r="P174" s="22">
        <v>0</v>
      </c>
      <c r="Q174" s="52" t="s">
        <v>61</v>
      </c>
      <c r="R174" s="22">
        <v>1</v>
      </c>
      <c r="Z174" s="60"/>
    </row>
    <row r="175" spans="1:26" s="52" customFormat="1" ht="14.4" x14ac:dyDescent="0.3">
      <c r="A175" s="30" t="s">
        <v>9</v>
      </c>
      <c r="B175" s="30"/>
      <c r="C175" s="11" t="s">
        <v>111</v>
      </c>
      <c r="D175" s="39" t="s">
        <v>683</v>
      </c>
      <c r="E175" s="52" t="s">
        <v>634</v>
      </c>
      <c r="F175" s="51" t="s">
        <v>616</v>
      </c>
      <c r="G175" s="55">
        <v>1</v>
      </c>
      <c r="H175" s="22">
        <v>0</v>
      </c>
      <c r="I175" s="55" t="s">
        <v>123</v>
      </c>
      <c r="J175" s="55" t="s">
        <v>124</v>
      </c>
      <c r="K175" s="56">
        <v>0</v>
      </c>
      <c r="L175" s="57" t="s">
        <v>125</v>
      </c>
      <c r="M175" s="58" t="s">
        <v>126</v>
      </c>
      <c r="O175" s="59" t="s">
        <v>62</v>
      </c>
      <c r="P175" s="22">
        <v>0</v>
      </c>
      <c r="Q175" s="52" t="s">
        <v>61</v>
      </c>
      <c r="R175" s="22">
        <v>1</v>
      </c>
      <c r="Z175" s="60"/>
    </row>
    <row r="176" spans="1:26" s="52" customFormat="1" ht="14.4" x14ac:dyDescent="0.3">
      <c r="A176" s="30" t="s">
        <v>9</v>
      </c>
      <c r="B176" s="30"/>
      <c r="C176" s="11" t="s">
        <v>111</v>
      </c>
      <c r="D176" s="39" t="s">
        <v>683</v>
      </c>
      <c r="E176" s="52" t="s">
        <v>635</v>
      </c>
      <c r="F176" s="51" t="s">
        <v>615</v>
      </c>
      <c r="G176" s="55">
        <v>1</v>
      </c>
      <c r="H176" s="22">
        <v>1</v>
      </c>
      <c r="I176" s="55" t="s">
        <v>39</v>
      </c>
      <c r="J176" s="55" t="s">
        <v>54</v>
      </c>
      <c r="K176" s="56">
        <v>0</v>
      </c>
      <c r="L176" s="57" t="s">
        <v>110</v>
      </c>
      <c r="M176" s="58"/>
      <c r="N176" s="52" t="s">
        <v>615</v>
      </c>
      <c r="O176" s="59" t="s">
        <v>62</v>
      </c>
      <c r="P176" s="22">
        <v>0</v>
      </c>
      <c r="Q176" s="52" t="s">
        <v>61</v>
      </c>
      <c r="R176" s="22">
        <v>1</v>
      </c>
      <c r="Z176" s="60"/>
    </row>
    <row r="177" spans="1:26" s="52" customFormat="1" ht="14.4" x14ac:dyDescent="0.3">
      <c r="A177" s="30" t="s">
        <v>9</v>
      </c>
      <c r="B177" s="30"/>
      <c r="C177" s="11" t="s">
        <v>111</v>
      </c>
      <c r="D177" s="39" t="s">
        <v>683</v>
      </c>
      <c r="E177" s="52" t="s">
        <v>636</v>
      </c>
      <c r="F177" s="51" t="s">
        <v>618</v>
      </c>
      <c r="G177" s="55">
        <v>1</v>
      </c>
      <c r="H177" s="22">
        <v>2</v>
      </c>
      <c r="I177" s="55" t="s">
        <v>123</v>
      </c>
      <c r="J177" s="55" t="s">
        <v>124</v>
      </c>
      <c r="K177" s="56">
        <v>0</v>
      </c>
      <c r="L177" s="57" t="s">
        <v>125</v>
      </c>
      <c r="M177" s="58" t="s">
        <v>126</v>
      </c>
      <c r="O177" s="59" t="s">
        <v>62</v>
      </c>
      <c r="P177" s="22">
        <v>0</v>
      </c>
      <c r="Q177" s="52" t="s">
        <v>61</v>
      </c>
      <c r="R177" s="22">
        <v>1</v>
      </c>
      <c r="Z177" s="60"/>
    </row>
    <row r="178" spans="1:26" s="52" customFormat="1" ht="14.4" x14ac:dyDescent="0.3">
      <c r="A178" s="30" t="s">
        <v>9</v>
      </c>
      <c r="B178" s="30"/>
      <c r="C178" s="11" t="s">
        <v>111</v>
      </c>
      <c r="D178" s="39" t="s">
        <v>683</v>
      </c>
      <c r="E178" s="52" t="s">
        <v>637</v>
      </c>
      <c r="F178" s="51" t="s">
        <v>617</v>
      </c>
      <c r="G178" s="55">
        <v>1</v>
      </c>
      <c r="H178" s="22">
        <v>3</v>
      </c>
      <c r="I178" s="55" t="s">
        <v>39</v>
      </c>
      <c r="J178" s="55" t="s">
        <v>69</v>
      </c>
      <c r="K178" s="56">
        <v>0</v>
      </c>
      <c r="L178" s="57" t="s">
        <v>110</v>
      </c>
      <c r="M178" s="58"/>
      <c r="N178" s="52" t="s">
        <v>617</v>
      </c>
      <c r="O178" s="59" t="s">
        <v>62</v>
      </c>
      <c r="P178" s="22">
        <v>0</v>
      </c>
      <c r="Q178" s="52" t="s">
        <v>61</v>
      </c>
      <c r="R178" s="22">
        <v>1</v>
      </c>
      <c r="Z178" s="60"/>
    </row>
    <row r="179" spans="1:26" s="52" customFormat="1" ht="14.4" x14ac:dyDescent="0.3">
      <c r="A179" s="30" t="s">
        <v>9</v>
      </c>
      <c r="B179" s="30"/>
      <c r="C179" s="11" t="s">
        <v>111</v>
      </c>
      <c r="D179" s="39" t="s">
        <v>683</v>
      </c>
      <c r="E179" s="52" t="s">
        <v>638</v>
      </c>
      <c r="F179" s="51" t="s">
        <v>620</v>
      </c>
      <c r="G179" s="55">
        <v>2</v>
      </c>
      <c r="H179" s="22">
        <v>0</v>
      </c>
      <c r="I179" s="55" t="s">
        <v>123</v>
      </c>
      <c r="J179" s="55" t="s">
        <v>124</v>
      </c>
      <c r="K179" s="56">
        <v>0</v>
      </c>
      <c r="L179" s="57" t="s">
        <v>125</v>
      </c>
      <c r="M179" s="58" t="s">
        <v>126</v>
      </c>
      <c r="O179" s="59" t="s">
        <v>62</v>
      </c>
      <c r="P179" s="22">
        <v>0</v>
      </c>
      <c r="Q179" s="52" t="s">
        <v>61</v>
      </c>
      <c r="R179" s="22">
        <v>1</v>
      </c>
      <c r="Z179" s="60"/>
    </row>
    <row r="180" spans="1:26" s="52" customFormat="1" ht="14.4" x14ac:dyDescent="0.3">
      <c r="A180" s="30" t="s">
        <v>9</v>
      </c>
      <c r="B180" s="30"/>
      <c r="C180" s="11" t="s">
        <v>111</v>
      </c>
      <c r="D180" s="39" t="s">
        <v>683</v>
      </c>
      <c r="E180" s="52" t="s">
        <v>639</v>
      </c>
      <c r="F180" s="51" t="s">
        <v>619</v>
      </c>
      <c r="G180" s="55">
        <v>2</v>
      </c>
      <c r="H180" s="22">
        <v>1</v>
      </c>
      <c r="I180" s="55" t="s">
        <v>39</v>
      </c>
      <c r="J180" s="55" t="s">
        <v>69</v>
      </c>
      <c r="K180" s="56">
        <v>0</v>
      </c>
      <c r="L180" s="57" t="s">
        <v>110</v>
      </c>
      <c r="M180" s="58"/>
      <c r="N180" s="52" t="s">
        <v>663</v>
      </c>
      <c r="O180" s="59" t="s">
        <v>62</v>
      </c>
      <c r="P180" s="22">
        <v>0</v>
      </c>
      <c r="Q180" s="52" t="s">
        <v>61</v>
      </c>
      <c r="R180" s="22">
        <v>1</v>
      </c>
      <c r="Z180" s="60"/>
    </row>
    <row r="181" spans="1:26" s="52" customFormat="1" ht="14.4" x14ac:dyDescent="0.3">
      <c r="A181" s="30" t="s">
        <v>9</v>
      </c>
      <c r="B181" s="30"/>
      <c r="C181" s="11" t="s">
        <v>111</v>
      </c>
      <c r="D181" s="39" t="s">
        <v>683</v>
      </c>
      <c r="E181" s="52" t="s">
        <v>640</v>
      </c>
      <c r="F181" s="51" t="s">
        <v>622</v>
      </c>
      <c r="G181" s="55">
        <v>2</v>
      </c>
      <c r="H181" s="22">
        <v>2</v>
      </c>
      <c r="I181" s="55" t="s">
        <v>123</v>
      </c>
      <c r="J181" s="55" t="s">
        <v>124</v>
      </c>
      <c r="K181" s="56">
        <v>0</v>
      </c>
      <c r="L181" s="57" t="s">
        <v>125</v>
      </c>
      <c r="M181" s="58" t="s">
        <v>126</v>
      </c>
      <c r="O181" s="59" t="s">
        <v>62</v>
      </c>
      <c r="P181" s="22">
        <v>0</v>
      </c>
      <c r="Q181" s="52" t="s">
        <v>61</v>
      </c>
      <c r="R181" s="22">
        <v>1</v>
      </c>
      <c r="Z181" s="60"/>
    </row>
    <row r="182" spans="1:26" s="52" customFormat="1" ht="14.4" x14ac:dyDescent="0.3">
      <c r="A182" s="30" t="s">
        <v>9</v>
      </c>
      <c r="B182" s="30"/>
      <c r="C182" s="11" t="s">
        <v>111</v>
      </c>
      <c r="D182" s="39" t="s">
        <v>683</v>
      </c>
      <c r="E182" s="52" t="s">
        <v>641</v>
      </c>
      <c r="F182" s="51" t="s">
        <v>621</v>
      </c>
      <c r="G182" s="55">
        <v>2</v>
      </c>
      <c r="H182" s="22">
        <v>3</v>
      </c>
      <c r="I182" s="55" t="s">
        <v>39</v>
      </c>
      <c r="J182" s="55" t="s">
        <v>69</v>
      </c>
      <c r="K182" s="56">
        <v>0</v>
      </c>
      <c r="L182" s="57" t="s">
        <v>110</v>
      </c>
      <c r="M182" s="58"/>
      <c r="N182" s="52" t="s">
        <v>662</v>
      </c>
      <c r="O182" s="59" t="s">
        <v>62</v>
      </c>
      <c r="P182" s="22">
        <v>0</v>
      </c>
      <c r="Q182" s="52" t="s">
        <v>61</v>
      </c>
      <c r="R182" s="22">
        <v>1</v>
      </c>
      <c r="Z182" s="60"/>
    </row>
    <row r="183" spans="1:26" s="52" customFormat="1" ht="14.4" x14ac:dyDescent="0.3">
      <c r="A183" s="30" t="s">
        <v>9</v>
      </c>
      <c r="B183" s="30"/>
      <c r="C183" s="11" t="s">
        <v>111</v>
      </c>
      <c r="D183" s="39" t="s">
        <v>683</v>
      </c>
      <c r="E183" s="52" t="s">
        <v>695</v>
      </c>
      <c r="F183" s="51" t="s">
        <v>696</v>
      </c>
      <c r="G183" s="55">
        <v>7</v>
      </c>
      <c r="H183" s="22">
        <v>2</v>
      </c>
      <c r="I183" s="55" t="s">
        <v>39</v>
      </c>
      <c r="J183" s="55" t="s">
        <v>54</v>
      </c>
      <c r="K183" s="56">
        <v>0</v>
      </c>
      <c r="L183" s="57" t="s">
        <v>110</v>
      </c>
      <c r="M183" s="58"/>
      <c r="N183" s="52" t="s">
        <v>700</v>
      </c>
      <c r="O183" s="59" t="s">
        <v>62</v>
      </c>
      <c r="P183" s="22">
        <v>0</v>
      </c>
      <c r="Q183" s="52" t="s">
        <v>61</v>
      </c>
      <c r="R183" s="22">
        <v>1</v>
      </c>
      <c r="Z183" s="60"/>
    </row>
    <row r="184" spans="1:26" s="52" customFormat="1" ht="14.4" x14ac:dyDescent="0.3">
      <c r="A184" s="30" t="s">
        <v>9</v>
      </c>
      <c r="B184" s="30"/>
      <c r="C184" s="11" t="s">
        <v>111</v>
      </c>
      <c r="D184" s="39" t="s">
        <v>683</v>
      </c>
      <c r="E184" s="52" t="s">
        <v>703</v>
      </c>
      <c r="F184" s="51" t="s">
        <v>702</v>
      </c>
      <c r="G184" s="55">
        <v>7</v>
      </c>
      <c r="H184" s="22">
        <v>1</v>
      </c>
      <c r="I184" s="55" t="s">
        <v>123</v>
      </c>
      <c r="J184" s="55" t="s">
        <v>124</v>
      </c>
      <c r="K184" s="56">
        <v>0</v>
      </c>
      <c r="L184" s="57" t="s">
        <v>125</v>
      </c>
      <c r="M184" s="58" t="s">
        <v>126</v>
      </c>
      <c r="O184" s="59" t="s">
        <v>62</v>
      </c>
      <c r="P184" s="22">
        <v>0</v>
      </c>
      <c r="Q184" s="52" t="s">
        <v>61</v>
      </c>
      <c r="R184" s="22">
        <v>1</v>
      </c>
      <c r="Z184" s="60"/>
    </row>
    <row r="185" spans="1:26" s="52" customFormat="1" ht="14.4" x14ac:dyDescent="0.3">
      <c r="A185" s="30" t="s">
        <v>9</v>
      </c>
      <c r="B185" s="30"/>
      <c r="C185" s="11" t="s">
        <v>111</v>
      </c>
      <c r="D185" s="39" t="s">
        <v>683</v>
      </c>
      <c r="E185" s="52" t="s">
        <v>648</v>
      </c>
      <c r="F185" s="51" t="s">
        <v>642</v>
      </c>
      <c r="G185" s="55">
        <v>3</v>
      </c>
      <c r="H185" s="22">
        <v>0</v>
      </c>
      <c r="I185" s="55" t="s">
        <v>123</v>
      </c>
      <c r="J185" s="55" t="s">
        <v>124</v>
      </c>
      <c r="K185" s="56">
        <v>0</v>
      </c>
      <c r="L185" s="57" t="s">
        <v>125</v>
      </c>
      <c r="M185" s="58" t="s">
        <v>126</v>
      </c>
      <c r="O185" s="59" t="s">
        <v>62</v>
      </c>
      <c r="P185" s="22">
        <v>0</v>
      </c>
      <c r="Q185" s="52" t="s">
        <v>61</v>
      </c>
      <c r="R185" s="22">
        <v>1</v>
      </c>
      <c r="Z185" s="60"/>
    </row>
    <row r="186" spans="1:26" s="52" customFormat="1" ht="14.4" x14ac:dyDescent="0.3">
      <c r="A186" s="30" t="s">
        <v>9</v>
      </c>
      <c r="B186" s="30"/>
      <c r="C186" s="11" t="s">
        <v>111</v>
      </c>
      <c r="D186" s="39" t="s">
        <v>683</v>
      </c>
      <c r="E186" s="52" t="s">
        <v>647</v>
      </c>
      <c r="F186" s="51" t="s">
        <v>643</v>
      </c>
      <c r="G186" s="55">
        <v>3</v>
      </c>
      <c r="H186" s="22">
        <v>1</v>
      </c>
      <c r="I186" s="55" t="s">
        <v>39</v>
      </c>
      <c r="J186" s="55" t="s">
        <v>69</v>
      </c>
      <c r="K186" s="56">
        <v>0</v>
      </c>
      <c r="L186" s="57" t="s">
        <v>110</v>
      </c>
      <c r="M186" s="58"/>
      <c r="N186" s="52" t="s">
        <v>643</v>
      </c>
      <c r="O186" s="59" t="s">
        <v>62</v>
      </c>
      <c r="P186" s="22">
        <v>0</v>
      </c>
      <c r="Q186" s="52" t="s">
        <v>61</v>
      </c>
      <c r="R186" s="22">
        <v>1</v>
      </c>
      <c r="Z186" s="60"/>
    </row>
    <row r="187" spans="1:26" s="52" customFormat="1" ht="14.4" x14ac:dyDescent="0.3">
      <c r="A187" s="30" t="s">
        <v>9</v>
      </c>
      <c r="B187" s="30"/>
      <c r="C187" s="11" t="s">
        <v>111</v>
      </c>
      <c r="D187" s="39" t="s">
        <v>683</v>
      </c>
      <c r="E187" s="52" t="s">
        <v>650</v>
      </c>
      <c r="F187" s="51" t="s">
        <v>645</v>
      </c>
      <c r="G187" s="55">
        <v>3</v>
      </c>
      <c r="H187" s="22">
        <v>2</v>
      </c>
      <c r="I187" s="55" t="s">
        <v>123</v>
      </c>
      <c r="J187" s="55" t="s">
        <v>124</v>
      </c>
      <c r="K187" s="56">
        <v>0</v>
      </c>
      <c r="L187" s="57" t="s">
        <v>125</v>
      </c>
      <c r="M187" s="58" t="s">
        <v>126</v>
      </c>
      <c r="O187" s="59" t="s">
        <v>62</v>
      </c>
      <c r="P187" s="22">
        <v>0</v>
      </c>
      <c r="Q187" s="52" t="s">
        <v>61</v>
      </c>
      <c r="R187" s="22">
        <v>1</v>
      </c>
      <c r="Z187" s="60"/>
    </row>
    <row r="188" spans="1:26" s="52" customFormat="1" ht="14.4" x14ac:dyDescent="0.3">
      <c r="A188" s="30" t="s">
        <v>9</v>
      </c>
      <c r="B188" s="30"/>
      <c r="C188" s="11" t="s">
        <v>111</v>
      </c>
      <c r="D188" s="39" t="s">
        <v>683</v>
      </c>
      <c r="E188" s="52" t="s">
        <v>649</v>
      </c>
      <c r="F188" s="51" t="s">
        <v>644</v>
      </c>
      <c r="G188" s="55">
        <v>3</v>
      </c>
      <c r="H188" s="22">
        <v>3</v>
      </c>
      <c r="I188" s="55" t="s">
        <v>39</v>
      </c>
      <c r="J188" s="55" t="s">
        <v>54</v>
      </c>
      <c r="K188" s="56">
        <v>0</v>
      </c>
      <c r="L188" s="57" t="s">
        <v>110</v>
      </c>
      <c r="M188" s="58"/>
      <c r="N188" s="52" t="s">
        <v>644</v>
      </c>
      <c r="O188" s="59" t="s">
        <v>62</v>
      </c>
      <c r="P188" s="22">
        <v>0</v>
      </c>
      <c r="Q188" s="52" t="s">
        <v>61</v>
      </c>
      <c r="R188" s="22">
        <v>1</v>
      </c>
      <c r="Z188" s="60"/>
    </row>
    <row r="189" spans="1:26" s="52" customFormat="1" ht="14.4" x14ac:dyDescent="0.3">
      <c r="A189" s="30" t="s">
        <v>9</v>
      </c>
      <c r="B189" s="30"/>
      <c r="C189" s="11" t="s">
        <v>111</v>
      </c>
      <c r="D189" s="39" t="s">
        <v>683</v>
      </c>
      <c r="E189" s="52" t="s">
        <v>651</v>
      </c>
      <c r="F189" s="51" t="s">
        <v>646</v>
      </c>
      <c r="G189" s="55">
        <v>7</v>
      </c>
      <c r="H189" s="22">
        <v>0</v>
      </c>
      <c r="I189" s="55" t="s">
        <v>39</v>
      </c>
      <c r="J189" s="55" t="s">
        <v>54</v>
      </c>
      <c r="K189" s="56">
        <v>0</v>
      </c>
      <c r="L189" s="57" t="s">
        <v>110</v>
      </c>
      <c r="M189" s="58"/>
      <c r="N189" s="52" t="s">
        <v>673</v>
      </c>
      <c r="O189" s="59" t="s">
        <v>62</v>
      </c>
      <c r="P189" s="22">
        <v>0</v>
      </c>
      <c r="Q189" s="52" t="s">
        <v>61</v>
      </c>
      <c r="R189" s="22">
        <v>1</v>
      </c>
      <c r="Z189" s="60"/>
    </row>
    <row r="190" spans="1:26" ht="14.4" x14ac:dyDescent="0.3">
      <c r="A190" s="30"/>
      <c r="B190" s="30"/>
      <c r="C190" s="11"/>
      <c r="D190" s="39"/>
      <c r="F190" s="51"/>
      <c r="G190" s="39"/>
      <c r="H190" s="39"/>
      <c r="I190" s="27"/>
      <c r="K190" s="37"/>
      <c r="M190" s="35"/>
      <c r="N190"/>
      <c r="O190" s="46"/>
      <c r="Q190" s="39"/>
      <c r="R190" s="39"/>
    </row>
    <row r="191" spans="1:26" x14ac:dyDescent="0.25">
      <c r="A191" s="30"/>
      <c r="B191" s="30"/>
      <c r="C191" s="11"/>
      <c r="D191" s="30"/>
      <c r="G191" s="39"/>
      <c r="H191" s="22"/>
      <c r="I191" s="39"/>
      <c r="J191" s="39"/>
      <c r="N191"/>
      <c r="O191" s="46"/>
      <c r="P191" s="42"/>
      <c r="Q191"/>
      <c r="Z191" s="38"/>
    </row>
    <row r="192" spans="1:26" x14ac:dyDescent="0.25">
      <c r="A192" s="31" t="s">
        <v>9</v>
      </c>
      <c r="B192" s="31"/>
      <c r="C192" s="32" t="s">
        <v>112</v>
      </c>
      <c r="D192" s="18"/>
      <c r="E192" s="33" t="s">
        <v>478</v>
      </c>
      <c r="F192" s="32"/>
      <c r="G192" s="20">
        <v>0</v>
      </c>
      <c r="H192" s="20">
        <v>0</v>
      </c>
      <c r="I192" s="26"/>
      <c r="J192" s="26" t="s">
        <v>38</v>
      </c>
      <c r="K192" s="24"/>
      <c r="L192" s="21"/>
      <c r="M192" s="19"/>
      <c r="N192" s="23" t="s">
        <v>479</v>
      </c>
      <c r="O192" s="66" t="s">
        <v>32</v>
      </c>
      <c r="P192" s="33" t="s">
        <v>658</v>
      </c>
      <c r="Q192" s="33" t="s">
        <v>49</v>
      </c>
      <c r="R192" s="33" t="s">
        <v>172</v>
      </c>
      <c r="S192" s="33"/>
      <c r="T192" s="33"/>
      <c r="U192" s="33"/>
      <c r="V192" s="33"/>
      <c r="W192" s="23"/>
      <c r="X192" s="23"/>
      <c r="Y192" s="23"/>
      <c r="Z192" s="40"/>
    </row>
    <row r="193" spans="1:26" s="52" customFormat="1" ht="13.5" customHeight="1" x14ac:dyDescent="0.3">
      <c r="A193" s="30" t="s">
        <v>9</v>
      </c>
      <c r="B193" s="30"/>
      <c r="C193" s="54" t="s">
        <v>112</v>
      </c>
      <c r="D193" s="39" t="s">
        <v>478</v>
      </c>
      <c r="E193" t="s">
        <v>348</v>
      </c>
      <c r="F193" s="67" t="s">
        <v>220</v>
      </c>
      <c r="G193" s="22">
        <v>0</v>
      </c>
      <c r="H193" s="55">
        <v>0</v>
      </c>
      <c r="J193" s="55" t="s">
        <v>212</v>
      </c>
      <c r="K193" s="56"/>
      <c r="L193" s="57" t="s">
        <v>213</v>
      </c>
      <c r="M193" s="58"/>
      <c r="N193" s="34" t="s">
        <v>220</v>
      </c>
      <c r="O193" s="59" t="s">
        <v>214</v>
      </c>
      <c r="P193" s="34" t="s">
        <v>220</v>
      </c>
      <c r="Q193" s="52" t="s">
        <v>215</v>
      </c>
      <c r="R193" t="str">
        <f>P193&amp;" Trip"</f>
        <v>EBLR2CB Trip</v>
      </c>
      <c r="S193" t="s">
        <v>216</v>
      </c>
      <c r="T193">
        <v>1</v>
      </c>
      <c r="U193" t="s">
        <v>217</v>
      </c>
      <c r="V193">
        <v>0</v>
      </c>
      <c r="W193" t="s">
        <v>218</v>
      </c>
      <c r="X193" t="s">
        <v>39</v>
      </c>
      <c r="Y193" t="s">
        <v>219</v>
      </c>
      <c r="Z193" s="39" t="s">
        <v>123</v>
      </c>
    </row>
    <row r="194" spans="1:26" s="52" customFormat="1" ht="13.5" customHeight="1" x14ac:dyDescent="0.3">
      <c r="A194" s="30" t="s">
        <v>9</v>
      </c>
      <c r="B194" s="30"/>
      <c r="C194" s="54" t="s">
        <v>112</v>
      </c>
      <c r="D194" s="39" t="s">
        <v>478</v>
      </c>
      <c r="E194" t="s">
        <v>349</v>
      </c>
      <c r="F194" s="67" t="s">
        <v>221</v>
      </c>
      <c r="G194" s="22">
        <v>0</v>
      </c>
      <c r="H194" s="55">
        <v>1</v>
      </c>
      <c r="J194" s="55" t="s">
        <v>212</v>
      </c>
      <c r="K194" s="56"/>
      <c r="L194" s="57" t="s">
        <v>213</v>
      </c>
      <c r="M194" s="58"/>
      <c r="N194" s="34" t="s">
        <v>221</v>
      </c>
      <c r="O194" s="59" t="s">
        <v>214</v>
      </c>
      <c r="P194" s="34" t="s">
        <v>221</v>
      </c>
      <c r="Q194" s="52" t="s">
        <v>215</v>
      </c>
      <c r="R194" t="str">
        <f t="shared" ref="R194:R257" si="0">P194&amp;" Trip"</f>
        <v>EBMVCB Trip</v>
      </c>
      <c r="S194" t="s">
        <v>216</v>
      </c>
      <c r="T194">
        <v>1</v>
      </c>
      <c r="U194" t="s">
        <v>217</v>
      </c>
      <c r="V194">
        <v>0</v>
      </c>
      <c r="W194" t="s">
        <v>218</v>
      </c>
      <c r="X194" t="s">
        <v>39</v>
      </c>
      <c r="Y194" t="s">
        <v>219</v>
      </c>
      <c r="Z194" s="39" t="s">
        <v>123</v>
      </c>
    </row>
    <row r="195" spans="1:26" ht="14.4" x14ac:dyDescent="0.3">
      <c r="A195" s="30" t="s">
        <v>9</v>
      </c>
      <c r="B195" s="30"/>
      <c r="C195" s="54" t="s">
        <v>112</v>
      </c>
      <c r="D195" s="39" t="s">
        <v>478</v>
      </c>
      <c r="E195" t="s">
        <v>350</v>
      </c>
      <c r="F195" s="67" t="s">
        <v>222</v>
      </c>
      <c r="G195" s="22">
        <v>0</v>
      </c>
      <c r="H195" s="39">
        <v>2</v>
      </c>
      <c r="J195" s="55" t="s">
        <v>212</v>
      </c>
      <c r="L195" s="57" t="s">
        <v>213</v>
      </c>
      <c r="N195" s="34" t="s">
        <v>222</v>
      </c>
      <c r="O195" s="59" t="s">
        <v>214</v>
      </c>
      <c r="P195" s="34" t="s">
        <v>222</v>
      </c>
      <c r="Q195" s="52" t="s">
        <v>215</v>
      </c>
      <c r="R195" t="str">
        <f t="shared" si="0"/>
        <v>EDCB Trip</v>
      </c>
      <c r="S195" t="s">
        <v>216</v>
      </c>
      <c r="T195">
        <v>1</v>
      </c>
      <c r="U195" t="s">
        <v>217</v>
      </c>
      <c r="V195">
        <v>0</v>
      </c>
      <c r="W195" t="s">
        <v>218</v>
      </c>
      <c r="X195" t="s">
        <v>39</v>
      </c>
      <c r="Y195" t="s">
        <v>219</v>
      </c>
      <c r="Z195" s="39" t="s">
        <v>123</v>
      </c>
    </row>
    <row r="196" spans="1:26" ht="14.4" x14ac:dyDescent="0.3">
      <c r="A196" s="30" t="s">
        <v>9</v>
      </c>
      <c r="B196" s="30"/>
      <c r="C196" s="54" t="s">
        <v>112</v>
      </c>
      <c r="D196" s="39" t="s">
        <v>478</v>
      </c>
      <c r="E196" t="s">
        <v>351</v>
      </c>
      <c r="F196" s="67" t="s">
        <v>223</v>
      </c>
      <c r="G196" s="22">
        <v>0</v>
      </c>
      <c r="H196" s="55">
        <v>3</v>
      </c>
      <c r="J196" s="55" t="s">
        <v>212</v>
      </c>
      <c r="L196" s="57" t="s">
        <v>213</v>
      </c>
      <c r="N196" s="34" t="s">
        <v>223</v>
      </c>
      <c r="O196" s="59" t="s">
        <v>214</v>
      </c>
      <c r="P196" s="34" t="s">
        <v>223</v>
      </c>
      <c r="Q196" s="52" t="s">
        <v>215</v>
      </c>
      <c r="R196" t="str">
        <f t="shared" si="0"/>
        <v>ELCB1 Trip</v>
      </c>
      <c r="S196" t="s">
        <v>216</v>
      </c>
      <c r="T196">
        <v>1</v>
      </c>
      <c r="U196" t="s">
        <v>217</v>
      </c>
      <c r="V196">
        <v>0</v>
      </c>
      <c r="W196" t="s">
        <v>218</v>
      </c>
      <c r="X196" t="s">
        <v>39</v>
      </c>
      <c r="Y196" t="s">
        <v>219</v>
      </c>
      <c r="Z196" s="39" t="s">
        <v>123</v>
      </c>
    </row>
    <row r="197" spans="1:26" ht="14.4" x14ac:dyDescent="0.3">
      <c r="A197" s="30" t="s">
        <v>9</v>
      </c>
      <c r="B197" s="30"/>
      <c r="C197" s="54" t="s">
        <v>112</v>
      </c>
      <c r="D197" s="39" t="s">
        <v>478</v>
      </c>
      <c r="E197" t="s">
        <v>352</v>
      </c>
      <c r="F197" s="67" t="s">
        <v>224</v>
      </c>
      <c r="G197" s="22">
        <v>0</v>
      </c>
      <c r="H197" s="55">
        <v>4</v>
      </c>
      <c r="J197" s="55" t="s">
        <v>212</v>
      </c>
      <c r="L197" s="57" t="s">
        <v>213</v>
      </c>
      <c r="N197" s="34" t="s">
        <v>224</v>
      </c>
      <c r="O197" s="59" t="s">
        <v>214</v>
      </c>
      <c r="P197" s="34" t="s">
        <v>224</v>
      </c>
      <c r="Q197" s="52" t="s">
        <v>215</v>
      </c>
      <c r="R197" t="str">
        <f t="shared" si="0"/>
        <v>ELCB2 Trip</v>
      </c>
      <c r="S197" t="s">
        <v>216</v>
      </c>
      <c r="T197">
        <v>1</v>
      </c>
      <c r="U197" t="s">
        <v>217</v>
      </c>
      <c r="V197">
        <v>0</v>
      </c>
      <c r="W197" t="s">
        <v>218</v>
      </c>
      <c r="X197" t="s">
        <v>39</v>
      </c>
      <c r="Y197" t="s">
        <v>219</v>
      </c>
      <c r="Z197" s="39" t="s">
        <v>123</v>
      </c>
    </row>
    <row r="198" spans="1:26" ht="14.4" x14ac:dyDescent="0.3">
      <c r="A198" s="30" t="s">
        <v>9</v>
      </c>
      <c r="B198" s="30"/>
      <c r="C198" s="54" t="s">
        <v>112</v>
      </c>
      <c r="D198" s="39" t="s">
        <v>478</v>
      </c>
      <c r="E198" t="s">
        <v>353</v>
      </c>
      <c r="F198" s="67" t="s">
        <v>225</v>
      </c>
      <c r="G198" s="22">
        <v>0</v>
      </c>
      <c r="H198" s="39">
        <v>5</v>
      </c>
      <c r="J198" s="55" t="s">
        <v>212</v>
      </c>
      <c r="L198" s="57" t="s">
        <v>213</v>
      </c>
      <c r="N198" s="34" t="s">
        <v>225</v>
      </c>
      <c r="O198" s="59" t="s">
        <v>214</v>
      </c>
      <c r="P198" s="34" t="s">
        <v>225</v>
      </c>
      <c r="Q198" s="52" t="s">
        <v>215</v>
      </c>
      <c r="R198" t="str">
        <f t="shared" si="0"/>
        <v>ERCB Trip</v>
      </c>
      <c r="S198" t="s">
        <v>216</v>
      </c>
      <c r="T198">
        <v>1</v>
      </c>
      <c r="U198" t="s">
        <v>217</v>
      </c>
      <c r="V198">
        <v>0</v>
      </c>
      <c r="W198" t="s">
        <v>218</v>
      </c>
      <c r="X198" t="s">
        <v>39</v>
      </c>
      <c r="Y198" t="s">
        <v>219</v>
      </c>
      <c r="Z198" s="39" t="s">
        <v>123</v>
      </c>
    </row>
    <row r="199" spans="1:26" ht="14.4" x14ac:dyDescent="0.3">
      <c r="A199" s="30" t="s">
        <v>9</v>
      </c>
      <c r="B199" s="30"/>
      <c r="C199" s="54" t="s">
        <v>112</v>
      </c>
      <c r="D199" s="39" t="s">
        <v>478</v>
      </c>
      <c r="E199" t="s">
        <v>354</v>
      </c>
      <c r="F199" s="67" t="s">
        <v>226</v>
      </c>
      <c r="G199" s="22">
        <v>0</v>
      </c>
      <c r="H199" s="55">
        <v>6</v>
      </c>
      <c r="J199" s="55" t="s">
        <v>212</v>
      </c>
      <c r="L199" s="57" t="s">
        <v>213</v>
      </c>
      <c r="N199" s="34" t="s">
        <v>226</v>
      </c>
      <c r="O199" s="59" t="s">
        <v>214</v>
      </c>
      <c r="P199" s="34" t="s">
        <v>226</v>
      </c>
      <c r="Q199" s="52" t="s">
        <v>215</v>
      </c>
      <c r="R199" t="str">
        <f t="shared" si="0"/>
        <v>HCB Trip</v>
      </c>
      <c r="S199" t="s">
        <v>216</v>
      </c>
      <c r="T199">
        <v>1</v>
      </c>
      <c r="U199" t="s">
        <v>217</v>
      </c>
      <c r="V199">
        <v>0</v>
      </c>
      <c r="W199" t="s">
        <v>218</v>
      </c>
      <c r="X199" t="s">
        <v>39</v>
      </c>
      <c r="Y199" t="s">
        <v>219</v>
      </c>
      <c r="Z199" s="39" t="s">
        <v>123</v>
      </c>
    </row>
    <row r="200" spans="1:26" ht="14.4" x14ac:dyDescent="0.3">
      <c r="A200" s="30" t="s">
        <v>9</v>
      </c>
      <c r="B200" s="30"/>
      <c r="C200" s="54" t="s">
        <v>112</v>
      </c>
      <c r="D200" s="39" t="s">
        <v>478</v>
      </c>
      <c r="E200" t="s">
        <v>355</v>
      </c>
      <c r="F200" s="67" t="s">
        <v>227</v>
      </c>
      <c r="G200" s="22">
        <v>0</v>
      </c>
      <c r="H200" s="55">
        <v>7</v>
      </c>
      <c r="J200" s="55" t="s">
        <v>212</v>
      </c>
      <c r="L200" s="57" t="s">
        <v>213</v>
      </c>
      <c r="N200" s="34" t="s">
        <v>227</v>
      </c>
      <c r="O200" s="59" t="s">
        <v>214</v>
      </c>
      <c r="P200" s="34" t="s">
        <v>227</v>
      </c>
      <c r="Q200" s="52" t="s">
        <v>215</v>
      </c>
      <c r="R200" t="str">
        <f t="shared" si="0"/>
        <v>HLLCB Trip</v>
      </c>
      <c r="S200" t="s">
        <v>216</v>
      </c>
      <c r="T200">
        <v>1</v>
      </c>
      <c r="U200" t="s">
        <v>217</v>
      </c>
      <c r="V200">
        <v>0</v>
      </c>
      <c r="W200" t="s">
        <v>218</v>
      </c>
      <c r="X200" t="s">
        <v>39</v>
      </c>
      <c r="Y200" t="s">
        <v>219</v>
      </c>
      <c r="Z200" s="39" t="s">
        <v>123</v>
      </c>
    </row>
    <row r="201" spans="1:26" ht="14.4" x14ac:dyDescent="0.3">
      <c r="A201" s="30" t="s">
        <v>9</v>
      </c>
      <c r="B201" s="30"/>
      <c r="C201" s="54" t="s">
        <v>112</v>
      </c>
      <c r="D201" s="39" t="s">
        <v>478</v>
      </c>
      <c r="E201" t="s">
        <v>356</v>
      </c>
      <c r="F201" s="67" t="s">
        <v>228</v>
      </c>
      <c r="G201" s="22">
        <v>0</v>
      </c>
      <c r="H201" s="39">
        <v>8</v>
      </c>
      <c r="J201" s="55" t="s">
        <v>212</v>
      </c>
      <c r="L201" s="57" t="s">
        <v>213</v>
      </c>
      <c r="N201" s="34" t="s">
        <v>228</v>
      </c>
      <c r="O201" s="59" t="s">
        <v>214</v>
      </c>
      <c r="P201" s="34" t="s">
        <v>228</v>
      </c>
      <c r="Q201" s="52" t="s">
        <v>215</v>
      </c>
      <c r="R201" t="str">
        <f t="shared" si="0"/>
        <v>HLRCB Trip</v>
      </c>
      <c r="S201" t="s">
        <v>216</v>
      </c>
      <c r="T201">
        <v>1</v>
      </c>
      <c r="U201" t="s">
        <v>217</v>
      </c>
      <c r="V201">
        <v>0</v>
      </c>
      <c r="W201" t="s">
        <v>218</v>
      </c>
      <c r="X201" t="s">
        <v>39</v>
      </c>
      <c r="Y201" t="s">
        <v>219</v>
      </c>
      <c r="Z201" s="39" t="s">
        <v>123</v>
      </c>
    </row>
    <row r="202" spans="1:26" ht="14.4" x14ac:dyDescent="0.3">
      <c r="A202" s="30" t="s">
        <v>9</v>
      </c>
      <c r="C202" s="54" t="s">
        <v>112</v>
      </c>
      <c r="D202" s="39" t="s">
        <v>478</v>
      </c>
      <c r="E202" t="s">
        <v>357</v>
      </c>
      <c r="F202" s="67" t="s">
        <v>229</v>
      </c>
      <c r="G202" s="22">
        <v>0</v>
      </c>
      <c r="H202" s="55">
        <v>9</v>
      </c>
      <c r="J202" s="55" t="s">
        <v>212</v>
      </c>
      <c r="L202" s="57" t="s">
        <v>213</v>
      </c>
      <c r="N202" s="34" t="s">
        <v>229</v>
      </c>
      <c r="O202" s="59" t="s">
        <v>214</v>
      </c>
      <c r="P202" s="34" t="s">
        <v>229</v>
      </c>
      <c r="Q202" s="52" t="s">
        <v>215</v>
      </c>
      <c r="R202" t="str">
        <f t="shared" si="0"/>
        <v>ILCB1 Trip</v>
      </c>
      <c r="S202" t="s">
        <v>216</v>
      </c>
      <c r="T202">
        <v>1</v>
      </c>
      <c r="U202" t="s">
        <v>217</v>
      </c>
      <c r="V202">
        <v>0</v>
      </c>
      <c r="W202" t="s">
        <v>218</v>
      </c>
      <c r="X202" t="s">
        <v>39</v>
      </c>
      <c r="Y202" t="s">
        <v>219</v>
      </c>
      <c r="Z202" s="39" t="s">
        <v>123</v>
      </c>
    </row>
    <row r="203" spans="1:26" ht="14.4" x14ac:dyDescent="0.3">
      <c r="A203" s="30" t="s">
        <v>9</v>
      </c>
      <c r="C203" s="54" t="s">
        <v>112</v>
      </c>
      <c r="D203" s="39" t="s">
        <v>478</v>
      </c>
      <c r="E203" t="s">
        <v>358</v>
      </c>
      <c r="F203" s="67" t="s">
        <v>230</v>
      </c>
      <c r="G203" s="22">
        <v>1</v>
      </c>
      <c r="H203" s="55">
        <v>0</v>
      </c>
      <c r="J203" s="55" t="s">
        <v>212</v>
      </c>
      <c r="L203" s="57" t="s">
        <v>213</v>
      </c>
      <c r="N203" s="34" t="s">
        <v>230</v>
      </c>
      <c r="O203" s="59" t="s">
        <v>214</v>
      </c>
      <c r="P203" s="34" t="s">
        <v>230</v>
      </c>
      <c r="Q203" s="52" t="s">
        <v>215</v>
      </c>
      <c r="R203" t="str">
        <f t="shared" si="0"/>
        <v>ILCB2 Trip</v>
      </c>
      <c r="S203" t="s">
        <v>216</v>
      </c>
      <c r="T203">
        <v>1</v>
      </c>
      <c r="U203" t="s">
        <v>217</v>
      </c>
      <c r="V203">
        <v>0</v>
      </c>
      <c r="W203" t="s">
        <v>218</v>
      </c>
      <c r="X203" t="s">
        <v>39</v>
      </c>
      <c r="Y203" t="s">
        <v>219</v>
      </c>
      <c r="Z203" s="39" t="s">
        <v>123</v>
      </c>
    </row>
    <row r="204" spans="1:26" ht="14.4" x14ac:dyDescent="0.3">
      <c r="A204" s="30" t="s">
        <v>9</v>
      </c>
      <c r="B204" s="30"/>
      <c r="C204" s="54" t="s">
        <v>112</v>
      </c>
      <c r="D204" s="39" t="s">
        <v>478</v>
      </c>
      <c r="E204" t="s">
        <v>359</v>
      </c>
      <c r="F204" s="67" t="s">
        <v>231</v>
      </c>
      <c r="G204" s="22">
        <v>1</v>
      </c>
      <c r="H204" s="55">
        <v>1</v>
      </c>
      <c r="J204" s="55" t="s">
        <v>212</v>
      </c>
      <c r="L204" s="57" t="s">
        <v>213</v>
      </c>
      <c r="N204" s="34" t="s">
        <v>231</v>
      </c>
      <c r="O204" s="59" t="s">
        <v>214</v>
      </c>
      <c r="P204" s="34" t="s">
        <v>231</v>
      </c>
      <c r="Q204" s="52" t="s">
        <v>215</v>
      </c>
      <c r="R204" t="str">
        <f t="shared" si="0"/>
        <v>LDICB Trip</v>
      </c>
      <c r="S204" t="s">
        <v>216</v>
      </c>
      <c r="T204">
        <v>1</v>
      </c>
      <c r="U204" t="s">
        <v>217</v>
      </c>
      <c r="V204">
        <v>0</v>
      </c>
      <c r="W204" t="s">
        <v>218</v>
      </c>
      <c r="X204" t="s">
        <v>39</v>
      </c>
      <c r="Y204" t="s">
        <v>219</v>
      </c>
      <c r="Z204" s="39" t="s">
        <v>123</v>
      </c>
    </row>
    <row r="205" spans="1:26" ht="14.4" x14ac:dyDescent="0.3">
      <c r="A205" s="30" t="s">
        <v>9</v>
      </c>
      <c r="B205" s="30"/>
      <c r="C205" s="54" t="s">
        <v>112</v>
      </c>
      <c r="D205" s="39" t="s">
        <v>478</v>
      </c>
      <c r="E205" t="s">
        <v>360</v>
      </c>
      <c r="F205" s="67" t="s">
        <v>232</v>
      </c>
      <c r="G205" s="22">
        <v>1</v>
      </c>
      <c r="H205" s="39">
        <v>2</v>
      </c>
      <c r="J205" s="55" t="s">
        <v>212</v>
      </c>
      <c r="K205" s="37"/>
      <c r="L205" s="57" t="s">
        <v>213</v>
      </c>
      <c r="M205" s="35"/>
      <c r="N205" s="34" t="s">
        <v>232</v>
      </c>
      <c r="O205" s="59" t="s">
        <v>214</v>
      </c>
      <c r="P205" s="34" t="s">
        <v>232</v>
      </c>
      <c r="Q205" s="52" t="s">
        <v>215</v>
      </c>
      <c r="R205" t="str">
        <f t="shared" si="0"/>
        <v>LDLCB Trip</v>
      </c>
      <c r="S205" t="s">
        <v>216</v>
      </c>
      <c r="T205">
        <v>1</v>
      </c>
      <c r="U205" t="s">
        <v>217</v>
      </c>
      <c r="V205">
        <v>0</v>
      </c>
      <c r="W205" t="s">
        <v>218</v>
      </c>
      <c r="X205" t="s">
        <v>39</v>
      </c>
      <c r="Y205" t="s">
        <v>219</v>
      </c>
      <c r="Z205" s="39" t="s">
        <v>123</v>
      </c>
    </row>
    <row r="206" spans="1:26" ht="14.4" x14ac:dyDescent="0.3">
      <c r="A206" s="30" t="s">
        <v>9</v>
      </c>
      <c r="B206" s="30"/>
      <c r="C206" s="54" t="s">
        <v>112</v>
      </c>
      <c r="D206" s="39" t="s">
        <v>478</v>
      </c>
      <c r="E206" t="s">
        <v>361</v>
      </c>
      <c r="F206" s="67" t="s">
        <v>233</v>
      </c>
      <c r="G206" s="22">
        <v>1</v>
      </c>
      <c r="H206" s="55">
        <v>3</v>
      </c>
      <c r="J206" s="55" t="s">
        <v>212</v>
      </c>
      <c r="K206" s="37"/>
      <c r="L206" s="57" t="s">
        <v>213</v>
      </c>
      <c r="M206" s="35"/>
      <c r="N206" s="34" t="s">
        <v>233</v>
      </c>
      <c r="O206" s="59" t="s">
        <v>214</v>
      </c>
      <c r="P206" s="34" t="s">
        <v>233</v>
      </c>
      <c r="Q206" s="52" t="s">
        <v>215</v>
      </c>
      <c r="R206" t="str">
        <f t="shared" si="0"/>
        <v>LDRCB Trip</v>
      </c>
      <c r="S206" t="s">
        <v>216</v>
      </c>
      <c r="T206">
        <v>1</v>
      </c>
      <c r="U206" t="s">
        <v>217</v>
      </c>
      <c r="V206">
        <v>0</v>
      </c>
      <c r="W206" t="s">
        <v>218</v>
      </c>
      <c r="X206" t="s">
        <v>39</v>
      </c>
      <c r="Y206" t="s">
        <v>219</v>
      </c>
      <c r="Z206" s="39" t="s">
        <v>123</v>
      </c>
    </row>
    <row r="207" spans="1:26" ht="14.4" x14ac:dyDescent="0.3">
      <c r="A207" s="30" t="s">
        <v>9</v>
      </c>
      <c r="B207" s="30"/>
      <c r="C207" s="54" t="s">
        <v>112</v>
      </c>
      <c r="D207" s="39" t="s">
        <v>478</v>
      </c>
      <c r="E207" t="s">
        <v>362</v>
      </c>
      <c r="F207" s="67" t="s">
        <v>234</v>
      </c>
      <c r="G207" s="22">
        <v>1</v>
      </c>
      <c r="H207" s="55">
        <v>4</v>
      </c>
      <c r="J207" s="55" t="s">
        <v>212</v>
      </c>
      <c r="K207" s="37"/>
      <c r="L207" s="57" t="s">
        <v>213</v>
      </c>
      <c r="M207" s="35"/>
      <c r="N207" s="34" t="s">
        <v>234</v>
      </c>
      <c r="O207" s="59" t="s">
        <v>214</v>
      </c>
      <c r="P207" s="34" t="s">
        <v>234</v>
      </c>
      <c r="Q207" s="52" t="s">
        <v>215</v>
      </c>
      <c r="R207" t="str">
        <f t="shared" si="0"/>
        <v>MLCB Trip</v>
      </c>
      <c r="S207" t="s">
        <v>216</v>
      </c>
      <c r="T207">
        <v>1</v>
      </c>
      <c r="U207" t="s">
        <v>217</v>
      </c>
      <c r="V207">
        <v>0</v>
      </c>
      <c r="W207" t="s">
        <v>218</v>
      </c>
      <c r="X207" t="s">
        <v>39</v>
      </c>
      <c r="Y207" t="s">
        <v>219</v>
      </c>
      <c r="Z207" s="39" t="s">
        <v>123</v>
      </c>
    </row>
    <row r="208" spans="1:26" ht="14.4" x14ac:dyDescent="0.3">
      <c r="A208" s="30" t="s">
        <v>9</v>
      </c>
      <c r="B208" s="30"/>
      <c r="C208" s="54" t="s">
        <v>112</v>
      </c>
      <c r="D208" s="39" t="s">
        <v>478</v>
      </c>
      <c r="E208" t="s">
        <v>363</v>
      </c>
      <c r="F208" s="67" t="s">
        <v>235</v>
      </c>
      <c r="G208" s="22">
        <v>1</v>
      </c>
      <c r="H208" s="39">
        <v>5</v>
      </c>
      <c r="J208" s="55" t="s">
        <v>212</v>
      </c>
      <c r="K208" s="37"/>
      <c r="L208" s="57" t="s">
        <v>213</v>
      </c>
      <c r="M208" s="35"/>
      <c r="N208" s="34" t="s">
        <v>235</v>
      </c>
      <c r="O208" s="59" t="s">
        <v>214</v>
      </c>
      <c r="P208" s="34" t="s">
        <v>235</v>
      </c>
      <c r="Q208" s="52" t="s">
        <v>215</v>
      </c>
      <c r="R208" t="str">
        <f t="shared" si="0"/>
        <v>MMCB Trip</v>
      </c>
      <c r="S208" t="s">
        <v>216</v>
      </c>
      <c r="T208">
        <v>1</v>
      </c>
      <c r="U208" t="s">
        <v>217</v>
      </c>
      <c r="V208">
        <v>0</v>
      </c>
      <c r="W208" t="s">
        <v>218</v>
      </c>
      <c r="X208" t="s">
        <v>39</v>
      </c>
      <c r="Y208" t="s">
        <v>219</v>
      </c>
      <c r="Z208" s="39" t="s">
        <v>123</v>
      </c>
    </row>
    <row r="209" spans="1:26" ht="14.4" x14ac:dyDescent="0.3">
      <c r="A209" s="30" t="s">
        <v>9</v>
      </c>
      <c r="B209" s="30"/>
      <c r="C209" s="54" t="s">
        <v>112</v>
      </c>
      <c r="D209" s="39" t="s">
        <v>478</v>
      </c>
      <c r="E209" t="s">
        <v>364</v>
      </c>
      <c r="F209" s="67" t="s">
        <v>236</v>
      </c>
      <c r="G209" s="22">
        <v>1</v>
      </c>
      <c r="H209" s="55">
        <v>6</v>
      </c>
      <c r="J209" s="55" t="s">
        <v>212</v>
      </c>
      <c r="K209" s="37"/>
      <c r="L209" s="57" t="s">
        <v>213</v>
      </c>
      <c r="M209" s="35"/>
      <c r="N209" s="34" t="s">
        <v>236</v>
      </c>
      <c r="O209" s="59" t="s">
        <v>214</v>
      </c>
      <c r="P209" s="34" t="s">
        <v>236</v>
      </c>
      <c r="Q209" s="52" t="s">
        <v>215</v>
      </c>
      <c r="R209" t="str">
        <f t="shared" si="0"/>
        <v>NBCB Trip</v>
      </c>
      <c r="S209" t="s">
        <v>216</v>
      </c>
      <c r="T209">
        <v>1</v>
      </c>
      <c r="U209" t="s">
        <v>217</v>
      </c>
      <c r="V209">
        <v>0</v>
      </c>
      <c r="W209" t="s">
        <v>218</v>
      </c>
      <c r="X209" t="s">
        <v>39</v>
      </c>
      <c r="Y209" t="s">
        <v>219</v>
      </c>
      <c r="Z209" s="39" t="s">
        <v>123</v>
      </c>
    </row>
    <row r="210" spans="1:26" ht="14.4" x14ac:dyDescent="0.3">
      <c r="A210" s="30" t="s">
        <v>9</v>
      </c>
      <c r="B210" s="30"/>
      <c r="C210" s="54" t="s">
        <v>112</v>
      </c>
      <c r="D210" s="39" t="s">
        <v>478</v>
      </c>
      <c r="E210" t="s">
        <v>365</v>
      </c>
      <c r="F210" s="67" t="s">
        <v>237</v>
      </c>
      <c r="G210" s="22">
        <v>1</v>
      </c>
      <c r="H210" s="55">
        <v>7</v>
      </c>
      <c r="J210" s="55" t="s">
        <v>212</v>
      </c>
      <c r="K210" s="37"/>
      <c r="L210" s="57" t="s">
        <v>213</v>
      </c>
      <c r="M210" s="35"/>
      <c r="N210" s="34" t="s">
        <v>237</v>
      </c>
      <c r="O210" s="59" t="s">
        <v>214</v>
      </c>
      <c r="P210" s="34" t="s">
        <v>237</v>
      </c>
      <c r="Q210" s="52" t="s">
        <v>215</v>
      </c>
      <c r="R210" t="str">
        <f t="shared" si="0"/>
        <v>NVICB Trip</v>
      </c>
      <c r="S210" t="s">
        <v>216</v>
      </c>
      <c r="T210">
        <v>1</v>
      </c>
      <c r="U210" t="s">
        <v>217</v>
      </c>
      <c r="V210">
        <v>0</v>
      </c>
      <c r="W210" t="s">
        <v>218</v>
      </c>
      <c r="X210" t="s">
        <v>39</v>
      </c>
      <c r="Y210" t="s">
        <v>219</v>
      </c>
      <c r="Z210" s="39" t="s">
        <v>123</v>
      </c>
    </row>
    <row r="211" spans="1:26" ht="14.4" x14ac:dyDescent="0.3">
      <c r="A211" s="30" t="s">
        <v>9</v>
      </c>
      <c r="B211" s="30"/>
      <c r="C211" s="54" t="s">
        <v>112</v>
      </c>
      <c r="D211" s="39" t="s">
        <v>478</v>
      </c>
      <c r="E211" t="s">
        <v>366</v>
      </c>
      <c r="F211" s="67" t="s">
        <v>238</v>
      </c>
      <c r="G211" s="22">
        <v>1</v>
      </c>
      <c r="H211" s="39">
        <v>8</v>
      </c>
      <c r="J211" s="55" t="s">
        <v>212</v>
      </c>
      <c r="K211" s="37"/>
      <c r="L211" s="57" t="s">
        <v>213</v>
      </c>
      <c r="M211" s="35"/>
      <c r="N211" s="34" t="s">
        <v>238</v>
      </c>
      <c r="O211" s="59" t="s">
        <v>214</v>
      </c>
      <c r="P211" s="34" t="s">
        <v>238</v>
      </c>
      <c r="Q211" s="52" t="s">
        <v>215</v>
      </c>
      <c r="R211" t="str">
        <f t="shared" si="0"/>
        <v>OCCB1 Trip</v>
      </c>
      <c r="S211" t="s">
        <v>216</v>
      </c>
      <c r="T211">
        <v>1</v>
      </c>
      <c r="U211" t="s">
        <v>217</v>
      </c>
      <c r="V211">
        <v>0</v>
      </c>
      <c r="W211" t="s">
        <v>218</v>
      </c>
      <c r="X211" t="s">
        <v>39</v>
      </c>
      <c r="Y211" t="s">
        <v>219</v>
      </c>
      <c r="Z211" s="39" t="s">
        <v>123</v>
      </c>
    </row>
    <row r="212" spans="1:26" ht="14.4" x14ac:dyDescent="0.3">
      <c r="A212" s="30" t="s">
        <v>9</v>
      </c>
      <c r="B212" s="30"/>
      <c r="C212" s="54" t="s">
        <v>112</v>
      </c>
      <c r="D212" s="39" t="s">
        <v>478</v>
      </c>
      <c r="E212" t="s">
        <v>367</v>
      </c>
      <c r="F212" s="67" t="s">
        <v>239</v>
      </c>
      <c r="G212" s="22">
        <v>1</v>
      </c>
      <c r="H212" s="55">
        <v>9</v>
      </c>
      <c r="J212" s="55" t="s">
        <v>212</v>
      </c>
      <c r="K212" s="37"/>
      <c r="L212" s="57" t="s">
        <v>213</v>
      </c>
      <c r="M212" s="35"/>
      <c r="N212" s="34" t="s">
        <v>239</v>
      </c>
      <c r="O212" s="59" t="s">
        <v>214</v>
      </c>
      <c r="P212" s="34" t="s">
        <v>239</v>
      </c>
      <c r="Q212" s="52" t="s">
        <v>215</v>
      </c>
      <c r="R212" t="str">
        <f t="shared" si="0"/>
        <v>OCCB2 Trip</v>
      </c>
      <c r="S212" t="s">
        <v>216</v>
      </c>
      <c r="T212">
        <v>1</v>
      </c>
      <c r="U212" t="s">
        <v>217</v>
      </c>
      <c r="V212">
        <v>0</v>
      </c>
      <c r="W212" t="s">
        <v>218</v>
      </c>
      <c r="X212" t="s">
        <v>39</v>
      </c>
      <c r="Y212" t="s">
        <v>219</v>
      </c>
      <c r="Z212" s="39" t="s">
        <v>123</v>
      </c>
    </row>
    <row r="213" spans="1:26" ht="14.4" x14ac:dyDescent="0.3">
      <c r="A213" s="30" t="s">
        <v>9</v>
      </c>
      <c r="B213" s="30"/>
      <c r="C213" s="54" t="s">
        <v>112</v>
      </c>
      <c r="D213" s="39" t="s">
        <v>478</v>
      </c>
      <c r="E213" t="s">
        <v>368</v>
      </c>
      <c r="F213" s="67" t="s">
        <v>240</v>
      </c>
      <c r="G213" s="22">
        <v>2</v>
      </c>
      <c r="H213" s="55">
        <v>0</v>
      </c>
      <c r="J213" s="55" t="s">
        <v>212</v>
      </c>
      <c r="L213" s="57" t="s">
        <v>213</v>
      </c>
      <c r="N213" s="34" t="s">
        <v>240</v>
      </c>
      <c r="O213" s="59" t="s">
        <v>214</v>
      </c>
      <c r="P213" s="34" t="s">
        <v>240</v>
      </c>
      <c r="Q213" s="52" t="s">
        <v>215</v>
      </c>
      <c r="R213" t="str">
        <f t="shared" si="0"/>
        <v>ODDCB Trip</v>
      </c>
      <c r="S213" t="s">
        <v>216</v>
      </c>
      <c r="T213">
        <v>1</v>
      </c>
      <c r="U213" t="s">
        <v>217</v>
      </c>
      <c r="V213">
        <v>0</v>
      </c>
      <c r="W213" t="s">
        <v>218</v>
      </c>
      <c r="X213" t="s">
        <v>39</v>
      </c>
      <c r="Y213" t="s">
        <v>219</v>
      </c>
      <c r="Z213" s="39" t="s">
        <v>123</v>
      </c>
    </row>
    <row r="214" spans="1:26" ht="14.4" x14ac:dyDescent="0.3">
      <c r="A214" s="30" t="s">
        <v>9</v>
      </c>
      <c r="B214" s="30"/>
      <c r="C214" s="54" t="s">
        <v>112</v>
      </c>
      <c r="D214" s="39" t="s">
        <v>478</v>
      </c>
      <c r="E214" t="s">
        <v>369</v>
      </c>
      <c r="F214" s="67" t="s">
        <v>241</v>
      </c>
      <c r="G214" s="22">
        <v>2</v>
      </c>
      <c r="H214" s="55">
        <v>1</v>
      </c>
      <c r="J214" s="55" t="s">
        <v>212</v>
      </c>
      <c r="K214" s="37"/>
      <c r="L214" s="57" t="s">
        <v>213</v>
      </c>
      <c r="M214" s="35"/>
      <c r="N214" s="34" t="s">
        <v>241</v>
      </c>
      <c r="O214" s="59" t="s">
        <v>214</v>
      </c>
      <c r="P214" s="34" t="s">
        <v>241</v>
      </c>
      <c r="Q214" s="52" t="s">
        <v>215</v>
      </c>
      <c r="R214" t="str">
        <f t="shared" si="0"/>
        <v>PBCB Trip</v>
      </c>
      <c r="S214" t="s">
        <v>216</v>
      </c>
      <c r="T214">
        <v>1</v>
      </c>
      <c r="U214" t="s">
        <v>217</v>
      </c>
      <c r="V214">
        <v>0</v>
      </c>
      <c r="W214" t="s">
        <v>218</v>
      </c>
      <c r="X214" t="s">
        <v>39</v>
      </c>
      <c r="Y214" t="s">
        <v>219</v>
      </c>
      <c r="Z214" s="39" t="s">
        <v>123</v>
      </c>
    </row>
    <row r="215" spans="1:26" ht="14.4" x14ac:dyDescent="0.3">
      <c r="A215" s="30" t="s">
        <v>9</v>
      </c>
      <c r="B215" s="30"/>
      <c r="C215" s="54" t="s">
        <v>112</v>
      </c>
      <c r="D215" s="39" t="s">
        <v>478</v>
      </c>
      <c r="E215" t="s">
        <v>370</v>
      </c>
      <c r="F215" s="67" t="s">
        <v>242</v>
      </c>
      <c r="G215" s="22">
        <v>2</v>
      </c>
      <c r="H215" s="39">
        <v>2</v>
      </c>
      <c r="J215" s="55" t="s">
        <v>212</v>
      </c>
      <c r="K215" s="37"/>
      <c r="L215" s="57" t="s">
        <v>213</v>
      </c>
      <c r="M215" s="35"/>
      <c r="N215" s="34" t="s">
        <v>242</v>
      </c>
      <c r="O215" s="59" t="s">
        <v>214</v>
      </c>
      <c r="P215" s="34" t="s">
        <v>242</v>
      </c>
      <c r="Q215" s="52" t="s">
        <v>215</v>
      </c>
      <c r="R215" t="str">
        <f t="shared" si="0"/>
        <v>PISCB1 Trip</v>
      </c>
      <c r="S215" t="s">
        <v>216</v>
      </c>
      <c r="T215">
        <v>1</v>
      </c>
      <c r="U215" t="s">
        <v>217</v>
      </c>
      <c r="V215">
        <v>0</v>
      </c>
      <c r="W215" t="s">
        <v>218</v>
      </c>
      <c r="X215" t="s">
        <v>39</v>
      </c>
      <c r="Y215" t="s">
        <v>219</v>
      </c>
      <c r="Z215" s="39" t="s">
        <v>123</v>
      </c>
    </row>
    <row r="216" spans="1:26" ht="14.4" x14ac:dyDescent="0.3">
      <c r="A216" s="30" t="s">
        <v>9</v>
      </c>
      <c r="B216" s="30"/>
      <c r="C216" s="54" t="s">
        <v>112</v>
      </c>
      <c r="D216" s="39" t="s">
        <v>478</v>
      </c>
      <c r="E216" t="s">
        <v>371</v>
      </c>
      <c r="F216" s="67" t="s">
        <v>243</v>
      </c>
      <c r="G216" s="22">
        <v>2</v>
      </c>
      <c r="H216" s="55">
        <v>3</v>
      </c>
      <c r="J216" s="55" t="s">
        <v>212</v>
      </c>
      <c r="K216" s="37"/>
      <c r="L216" s="57" t="s">
        <v>213</v>
      </c>
      <c r="M216" s="35"/>
      <c r="N216" s="34" t="s">
        <v>243</v>
      </c>
      <c r="O216" s="59" t="s">
        <v>214</v>
      </c>
      <c r="P216" s="34" t="s">
        <v>243</v>
      </c>
      <c r="Q216" s="52" t="s">
        <v>215</v>
      </c>
      <c r="R216" t="str">
        <f t="shared" si="0"/>
        <v>PISCB2 Trip</v>
      </c>
      <c r="S216" t="s">
        <v>216</v>
      </c>
      <c r="T216">
        <v>1</v>
      </c>
      <c r="U216" t="s">
        <v>217</v>
      </c>
      <c r="V216">
        <v>0</v>
      </c>
      <c r="W216" t="s">
        <v>218</v>
      </c>
      <c r="X216" t="s">
        <v>39</v>
      </c>
      <c r="Y216" t="s">
        <v>219</v>
      </c>
      <c r="Z216" s="39" t="s">
        <v>123</v>
      </c>
    </row>
    <row r="217" spans="1:26" ht="14.4" x14ac:dyDescent="0.3">
      <c r="A217" s="30" t="s">
        <v>9</v>
      </c>
      <c r="B217" s="30"/>
      <c r="C217" s="54" t="s">
        <v>112</v>
      </c>
      <c r="D217" s="39" t="s">
        <v>478</v>
      </c>
      <c r="E217" t="s">
        <v>372</v>
      </c>
      <c r="F217" s="67" t="s">
        <v>244</v>
      </c>
      <c r="G217" s="22">
        <v>2</v>
      </c>
      <c r="H217" s="55">
        <v>4</v>
      </c>
      <c r="J217" s="55" t="s">
        <v>212</v>
      </c>
      <c r="K217" s="37"/>
      <c r="L217" s="57" t="s">
        <v>213</v>
      </c>
      <c r="M217" s="35"/>
      <c r="N217" s="34" t="s">
        <v>244</v>
      </c>
      <c r="O217" s="59" t="s">
        <v>214</v>
      </c>
      <c r="P217" s="34" t="s">
        <v>244</v>
      </c>
      <c r="Q217" s="52" t="s">
        <v>215</v>
      </c>
      <c r="R217" t="str">
        <f t="shared" si="0"/>
        <v>POCB Trip</v>
      </c>
      <c r="S217" t="s">
        <v>216</v>
      </c>
      <c r="T217">
        <v>1</v>
      </c>
      <c r="U217" t="s">
        <v>217</v>
      </c>
      <c r="V217">
        <v>0</v>
      </c>
      <c r="W217" t="s">
        <v>218</v>
      </c>
      <c r="X217" t="s">
        <v>39</v>
      </c>
      <c r="Y217" t="s">
        <v>219</v>
      </c>
      <c r="Z217" s="39" t="s">
        <v>123</v>
      </c>
    </row>
    <row r="218" spans="1:26" ht="14.4" x14ac:dyDescent="0.3">
      <c r="A218" s="30" t="s">
        <v>9</v>
      </c>
      <c r="B218" s="30"/>
      <c r="C218" s="54" t="s">
        <v>112</v>
      </c>
      <c r="D218" s="39" t="s">
        <v>478</v>
      </c>
      <c r="E218" t="s">
        <v>373</v>
      </c>
      <c r="F218" s="67" t="s">
        <v>245</v>
      </c>
      <c r="G218" s="22">
        <v>2</v>
      </c>
      <c r="H218" s="39">
        <v>5</v>
      </c>
      <c r="J218" s="55" t="s">
        <v>212</v>
      </c>
      <c r="K218" s="37"/>
      <c r="L218" s="57" t="s">
        <v>213</v>
      </c>
      <c r="M218" s="35"/>
      <c r="N218" s="34" t="s">
        <v>245</v>
      </c>
      <c r="O218" s="59" t="s">
        <v>214</v>
      </c>
      <c r="P218" s="34" t="s">
        <v>245</v>
      </c>
      <c r="Q218" s="52" t="s">
        <v>215</v>
      </c>
      <c r="R218" t="str">
        <f t="shared" si="0"/>
        <v>PPU1CB Trip</v>
      </c>
      <c r="S218" t="s">
        <v>216</v>
      </c>
      <c r="T218">
        <v>1</v>
      </c>
      <c r="U218" t="s">
        <v>217</v>
      </c>
      <c r="V218">
        <v>0</v>
      </c>
      <c r="W218" t="s">
        <v>218</v>
      </c>
      <c r="X218" t="s">
        <v>39</v>
      </c>
      <c r="Y218" t="s">
        <v>219</v>
      </c>
      <c r="Z218" s="39" t="s">
        <v>123</v>
      </c>
    </row>
    <row r="219" spans="1:26" ht="14.4" x14ac:dyDescent="0.3">
      <c r="A219" s="30" t="s">
        <v>9</v>
      </c>
      <c r="B219" s="30"/>
      <c r="C219" s="54" t="s">
        <v>112</v>
      </c>
      <c r="D219" s="39" t="s">
        <v>478</v>
      </c>
      <c r="E219" t="s">
        <v>374</v>
      </c>
      <c r="F219" s="67" t="s">
        <v>246</v>
      </c>
      <c r="G219" s="22">
        <v>2</v>
      </c>
      <c r="H219" s="55">
        <v>6</v>
      </c>
      <c r="J219" s="55" t="s">
        <v>212</v>
      </c>
      <c r="K219" s="37"/>
      <c r="L219" s="57" t="s">
        <v>213</v>
      </c>
      <c r="M219" s="35"/>
      <c r="N219" s="34" t="s">
        <v>246</v>
      </c>
      <c r="O219" s="59" t="s">
        <v>214</v>
      </c>
      <c r="P219" s="34" t="s">
        <v>246</v>
      </c>
      <c r="Q219" s="52" t="s">
        <v>215</v>
      </c>
      <c r="R219" t="str">
        <f t="shared" si="0"/>
        <v>PPU2CB Trip</v>
      </c>
      <c r="S219" t="s">
        <v>216</v>
      </c>
      <c r="T219">
        <v>1</v>
      </c>
      <c r="U219" t="s">
        <v>217</v>
      </c>
      <c r="V219">
        <v>0</v>
      </c>
      <c r="W219" t="s">
        <v>218</v>
      </c>
      <c r="X219" t="s">
        <v>39</v>
      </c>
      <c r="Y219" t="s">
        <v>219</v>
      </c>
      <c r="Z219" s="39" t="s">
        <v>123</v>
      </c>
    </row>
    <row r="220" spans="1:26" ht="14.4" x14ac:dyDescent="0.3">
      <c r="A220" s="30" t="s">
        <v>9</v>
      </c>
      <c r="B220" s="30"/>
      <c r="C220" s="54" t="s">
        <v>112</v>
      </c>
      <c r="D220" s="39" t="s">
        <v>478</v>
      </c>
      <c r="E220" t="s">
        <v>375</v>
      </c>
      <c r="F220" s="67" t="s">
        <v>247</v>
      </c>
      <c r="G220" s="22">
        <v>2</v>
      </c>
      <c r="H220" s="55">
        <v>7</v>
      </c>
      <c r="J220" s="55" t="s">
        <v>212</v>
      </c>
      <c r="K220" s="37"/>
      <c r="L220" s="57" t="s">
        <v>213</v>
      </c>
      <c r="M220" s="35"/>
      <c r="N220" s="34" t="s">
        <v>247</v>
      </c>
      <c r="O220" s="59" t="s">
        <v>214</v>
      </c>
      <c r="P220" s="34" t="s">
        <v>247</v>
      </c>
      <c r="Q220" s="52" t="s">
        <v>215</v>
      </c>
      <c r="R220" t="str">
        <f t="shared" si="0"/>
        <v>PPU3CB Trip</v>
      </c>
      <c r="S220" t="s">
        <v>216</v>
      </c>
      <c r="T220">
        <v>1</v>
      </c>
      <c r="U220" t="s">
        <v>217</v>
      </c>
      <c r="V220">
        <v>0</v>
      </c>
      <c r="W220" t="s">
        <v>218</v>
      </c>
      <c r="X220" t="s">
        <v>39</v>
      </c>
      <c r="Y220" t="s">
        <v>219</v>
      </c>
      <c r="Z220" s="39" t="s">
        <v>123</v>
      </c>
    </row>
    <row r="221" spans="1:26" ht="14.4" x14ac:dyDescent="0.3">
      <c r="A221" s="30" t="s">
        <v>9</v>
      </c>
      <c r="B221" s="30"/>
      <c r="C221" s="54" t="s">
        <v>112</v>
      </c>
      <c r="D221" s="39" t="s">
        <v>478</v>
      </c>
      <c r="E221" t="s">
        <v>376</v>
      </c>
      <c r="F221" s="67" t="s">
        <v>248</v>
      </c>
      <c r="G221" s="22">
        <v>2</v>
      </c>
      <c r="H221" s="39">
        <v>8</v>
      </c>
      <c r="J221" s="55" t="s">
        <v>212</v>
      </c>
      <c r="K221" s="37"/>
      <c r="L221" s="57" t="s">
        <v>213</v>
      </c>
      <c r="M221" s="35"/>
      <c r="N221" s="34" t="s">
        <v>248</v>
      </c>
      <c r="O221" s="59" t="s">
        <v>214</v>
      </c>
      <c r="P221" s="34" t="s">
        <v>248</v>
      </c>
      <c r="Q221" s="52" t="s">
        <v>215</v>
      </c>
      <c r="R221" t="str">
        <f t="shared" si="0"/>
        <v>RIO1CB Trip</v>
      </c>
      <c r="S221" t="s">
        <v>216</v>
      </c>
      <c r="T221">
        <v>1</v>
      </c>
      <c r="U221" t="s">
        <v>217</v>
      </c>
      <c r="V221">
        <v>0</v>
      </c>
      <c r="W221" t="s">
        <v>218</v>
      </c>
      <c r="X221" t="s">
        <v>39</v>
      </c>
      <c r="Y221" t="s">
        <v>219</v>
      </c>
      <c r="Z221" s="39" t="s">
        <v>123</v>
      </c>
    </row>
    <row r="222" spans="1:26" ht="14.4" x14ac:dyDescent="0.3">
      <c r="A222" s="30" t="s">
        <v>9</v>
      </c>
      <c r="C222" s="54" t="s">
        <v>112</v>
      </c>
      <c r="D222" s="39" t="s">
        <v>478</v>
      </c>
      <c r="E222" t="s">
        <v>377</v>
      </c>
      <c r="F222" s="67" t="s">
        <v>249</v>
      </c>
      <c r="G222" s="22">
        <v>2</v>
      </c>
      <c r="H222" s="55">
        <v>9</v>
      </c>
      <c r="J222" s="55" t="s">
        <v>212</v>
      </c>
      <c r="L222" s="57" t="s">
        <v>213</v>
      </c>
      <c r="N222" s="34" t="s">
        <v>249</v>
      </c>
      <c r="O222" s="59" t="s">
        <v>214</v>
      </c>
      <c r="P222" s="34" t="s">
        <v>249</v>
      </c>
      <c r="Q222" s="52" t="s">
        <v>215</v>
      </c>
      <c r="R222" t="str">
        <f t="shared" si="0"/>
        <v>RIO2CB Trip</v>
      </c>
      <c r="S222" t="s">
        <v>216</v>
      </c>
      <c r="T222">
        <v>1</v>
      </c>
      <c r="U222" t="s">
        <v>217</v>
      </c>
      <c r="V222">
        <v>0</v>
      </c>
      <c r="W222" t="s">
        <v>218</v>
      </c>
      <c r="X222" t="s">
        <v>39</v>
      </c>
      <c r="Y222" t="s">
        <v>219</v>
      </c>
      <c r="Z222" s="39" t="s">
        <v>123</v>
      </c>
    </row>
    <row r="223" spans="1:26" ht="14.4" x14ac:dyDescent="0.3">
      <c r="A223" s="30" t="s">
        <v>9</v>
      </c>
      <c r="C223" s="54" t="s">
        <v>112</v>
      </c>
      <c r="D223" s="39" t="s">
        <v>478</v>
      </c>
      <c r="E223" t="s">
        <v>378</v>
      </c>
      <c r="F223" s="67" t="s">
        <v>250</v>
      </c>
      <c r="G223" s="22">
        <v>3</v>
      </c>
      <c r="H223" s="55">
        <v>0</v>
      </c>
      <c r="J223" s="55" t="s">
        <v>212</v>
      </c>
      <c r="L223" s="57" t="s">
        <v>213</v>
      </c>
      <c r="N223" s="34" t="s">
        <v>250</v>
      </c>
      <c r="O223" s="59" t="s">
        <v>214</v>
      </c>
      <c r="P223" s="34" t="s">
        <v>250</v>
      </c>
      <c r="Q223" s="52" t="s">
        <v>215</v>
      </c>
      <c r="R223" t="str">
        <f t="shared" si="0"/>
        <v>SIOCB1 Trip</v>
      </c>
      <c r="S223" t="s">
        <v>216</v>
      </c>
      <c r="T223">
        <v>1</v>
      </c>
      <c r="U223" t="s">
        <v>217</v>
      </c>
      <c r="V223">
        <v>0</v>
      </c>
      <c r="W223" t="s">
        <v>218</v>
      </c>
      <c r="X223" t="s">
        <v>39</v>
      </c>
      <c r="Y223" t="s">
        <v>219</v>
      </c>
      <c r="Z223" s="39" t="s">
        <v>123</v>
      </c>
    </row>
    <row r="224" spans="1:26" ht="14.4" x14ac:dyDescent="0.3">
      <c r="A224" s="30" t="s">
        <v>9</v>
      </c>
      <c r="C224" s="54" t="s">
        <v>112</v>
      </c>
      <c r="D224" s="39" t="s">
        <v>478</v>
      </c>
      <c r="E224" t="s">
        <v>379</v>
      </c>
      <c r="F224" s="67" t="s">
        <v>251</v>
      </c>
      <c r="G224" s="22">
        <v>3</v>
      </c>
      <c r="H224" s="55">
        <v>1</v>
      </c>
      <c r="J224" s="55" t="s">
        <v>212</v>
      </c>
      <c r="L224" s="57" t="s">
        <v>213</v>
      </c>
      <c r="N224" s="34" t="s">
        <v>251</v>
      </c>
      <c r="O224" s="59" t="s">
        <v>214</v>
      </c>
      <c r="P224" s="34" t="s">
        <v>251</v>
      </c>
      <c r="Q224" s="52" t="s">
        <v>215</v>
      </c>
      <c r="R224" t="str">
        <f t="shared" si="0"/>
        <v>SIOCB2 Trip</v>
      </c>
      <c r="S224" t="s">
        <v>216</v>
      </c>
      <c r="T224">
        <v>1</v>
      </c>
      <c r="U224" t="s">
        <v>217</v>
      </c>
      <c r="V224">
        <v>0</v>
      </c>
      <c r="W224" t="s">
        <v>218</v>
      </c>
      <c r="X224" t="s">
        <v>39</v>
      </c>
      <c r="Y224" t="s">
        <v>219</v>
      </c>
      <c r="Z224" s="39" t="s">
        <v>123</v>
      </c>
    </row>
    <row r="225" spans="1:26" ht="14.4" x14ac:dyDescent="0.3">
      <c r="A225" s="30" t="s">
        <v>9</v>
      </c>
      <c r="C225" s="54" t="s">
        <v>112</v>
      </c>
      <c r="D225" s="39" t="s">
        <v>478</v>
      </c>
      <c r="E225" t="s">
        <v>380</v>
      </c>
      <c r="F225" s="67" t="s">
        <v>252</v>
      </c>
      <c r="G225" s="22">
        <v>3</v>
      </c>
      <c r="H225" s="39">
        <v>2</v>
      </c>
      <c r="J225" s="55" t="s">
        <v>212</v>
      </c>
      <c r="L225" s="57" t="s">
        <v>213</v>
      </c>
      <c r="N225" s="34" t="s">
        <v>252</v>
      </c>
      <c r="O225" s="59" t="s">
        <v>214</v>
      </c>
      <c r="P225" s="34" t="s">
        <v>252</v>
      </c>
      <c r="Q225" s="52" t="s">
        <v>215</v>
      </c>
      <c r="R225" t="str">
        <f t="shared" si="0"/>
        <v>SSICB Trip</v>
      </c>
      <c r="S225" t="s">
        <v>216</v>
      </c>
      <c r="T225">
        <v>1</v>
      </c>
      <c r="U225" t="s">
        <v>217</v>
      </c>
      <c r="V225">
        <v>0</v>
      </c>
      <c r="W225" t="s">
        <v>218</v>
      </c>
      <c r="X225" t="s">
        <v>39</v>
      </c>
      <c r="Y225" t="s">
        <v>219</v>
      </c>
      <c r="Z225" s="39" t="s">
        <v>123</v>
      </c>
    </row>
    <row r="226" spans="1:26" ht="14.4" x14ac:dyDescent="0.3">
      <c r="A226" s="30" t="s">
        <v>9</v>
      </c>
      <c r="C226" s="54" t="s">
        <v>112</v>
      </c>
      <c r="D226" s="39" t="s">
        <v>478</v>
      </c>
      <c r="E226" t="s">
        <v>381</v>
      </c>
      <c r="F226" s="67" t="s">
        <v>253</v>
      </c>
      <c r="G226" s="22">
        <v>3</v>
      </c>
      <c r="H226" s="55">
        <v>3</v>
      </c>
      <c r="J226" s="55" t="s">
        <v>212</v>
      </c>
      <c r="L226" s="57" t="s">
        <v>213</v>
      </c>
      <c r="N226" s="34" t="s">
        <v>253</v>
      </c>
      <c r="O226" s="59" t="s">
        <v>214</v>
      </c>
      <c r="P226" s="34" t="s">
        <v>253</v>
      </c>
      <c r="Q226" s="52" t="s">
        <v>215</v>
      </c>
      <c r="R226" t="str">
        <f t="shared" si="0"/>
        <v>TBCCB1 Trip</v>
      </c>
      <c r="S226" t="s">
        <v>216</v>
      </c>
      <c r="T226">
        <v>1</v>
      </c>
      <c r="U226" t="s">
        <v>217</v>
      </c>
      <c r="V226">
        <v>0</v>
      </c>
      <c r="W226" t="s">
        <v>218</v>
      </c>
      <c r="X226" t="s">
        <v>39</v>
      </c>
      <c r="Y226" t="s">
        <v>219</v>
      </c>
      <c r="Z226" s="39" t="s">
        <v>123</v>
      </c>
    </row>
    <row r="227" spans="1:26" ht="14.4" x14ac:dyDescent="0.3">
      <c r="A227" s="30" t="s">
        <v>9</v>
      </c>
      <c r="C227" s="54" t="s">
        <v>112</v>
      </c>
      <c r="D227" s="39" t="s">
        <v>478</v>
      </c>
      <c r="E227" t="s">
        <v>382</v>
      </c>
      <c r="F227" s="67" t="s">
        <v>254</v>
      </c>
      <c r="G227" s="22">
        <v>3</v>
      </c>
      <c r="H227" s="55">
        <v>4</v>
      </c>
      <c r="J227" s="55" t="s">
        <v>212</v>
      </c>
      <c r="L227" s="57" t="s">
        <v>213</v>
      </c>
      <c r="N227" s="34" t="s">
        <v>254</v>
      </c>
      <c r="O227" s="59" t="s">
        <v>214</v>
      </c>
      <c r="P227" s="34" t="s">
        <v>254</v>
      </c>
      <c r="Q227" s="52" t="s">
        <v>215</v>
      </c>
      <c r="R227" t="str">
        <f t="shared" si="0"/>
        <v>TBCCB2 Trip</v>
      </c>
      <c r="S227" t="s">
        <v>216</v>
      </c>
      <c r="T227">
        <v>1</v>
      </c>
      <c r="U227" t="s">
        <v>217</v>
      </c>
      <c r="V227">
        <v>0</v>
      </c>
      <c r="W227" t="s">
        <v>218</v>
      </c>
      <c r="X227" t="s">
        <v>39</v>
      </c>
      <c r="Y227" t="s">
        <v>219</v>
      </c>
      <c r="Z227" s="39" t="s">
        <v>123</v>
      </c>
    </row>
    <row r="228" spans="1:26" ht="14.4" x14ac:dyDescent="0.3">
      <c r="A228" s="30" t="s">
        <v>9</v>
      </c>
      <c r="C228" s="54" t="s">
        <v>112</v>
      </c>
      <c r="D228" s="39" t="s">
        <v>478</v>
      </c>
      <c r="E228" t="s">
        <v>383</v>
      </c>
      <c r="F228" s="67" t="s">
        <v>255</v>
      </c>
      <c r="G228" s="22">
        <v>3</v>
      </c>
      <c r="H228" s="39">
        <v>5</v>
      </c>
      <c r="J228" s="55" t="s">
        <v>212</v>
      </c>
      <c r="L228" s="57" t="s">
        <v>213</v>
      </c>
      <c r="N228" s="34" t="s">
        <v>255</v>
      </c>
      <c r="O228" s="59" t="s">
        <v>214</v>
      </c>
      <c r="P228" s="34" t="s">
        <v>255</v>
      </c>
      <c r="Q228" s="52" t="s">
        <v>215</v>
      </c>
      <c r="R228" t="str">
        <f t="shared" si="0"/>
        <v>TBNCB Trip</v>
      </c>
      <c r="S228" t="s">
        <v>216</v>
      </c>
      <c r="T228">
        <v>1</v>
      </c>
      <c r="U228" t="s">
        <v>217</v>
      </c>
      <c r="V228">
        <v>0</v>
      </c>
      <c r="W228" t="s">
        <v>218</v>
      </c>
      <c r="X228" t="s">
        <v>39</v>
      </c>
      <c r="Y228" t="s">
        <v>219</v>
      </c>
      <c r="Z228" s="39" t="s">
        <v>123</v>
      </c>
    </row>
    <row r="229" spans="1:26" ht="14.4" x14ac:dyDescent="0.3">
      <c r="A229" s="30" t="s">
        <v>9</v>
      </c>
      <c r="C229" s="54" t="s">
        <v>112</v>
      </c>
      <c r="D229" s="39" t="s">
        <v>478</v>
      </c>
      <c r="E229" t="s">
        <v>384</v>
      </c>
      <c r="F229" s="67" t="s">
        <v>256</v>
      </c>
      <c r="G229" s="22">
        <v>3</v>
      </c>
      <c r="H229" s="55">
        <v>6</v>
      </c>
      <c r="J229" s="55" t="s">
        <v>212</v>
      </c>
      <c r="L229" s="57" t="s">
        <v>213</v>
      </c>
      <c r="N229" s="34" t="s">
        <v>256</v>
      </c>
      <c r="O229" s="59" t="s">
        <v>214</v>
      </c>
      <c r="P229" s="34" t="s">
        <v>256</v>
      </c>
      <c r="Q229" s="52" t="s">
        <v>215</v>
      </c>
      <c r="R229" t="str">
        <f t="shared" si="0"/>
        <v>TDICB Trip</v>
      </c>
      <c r="S229" t="s">
        <v>216</v>
      </c>
      <c r="T229">
        <v>1</v>
      </c>
      <c r="U229" t="s">
        <v>217</v>
      </c>
      <c r="V229">
        <v>0</v>
      </c>
      <c r="W229" t="s">
        <v>218</v>
      </c>
      <c r="X229" t="s">
        <v>39</v>
      </c>
      <c r="Y229" t="s">
        <v>219</v>
      </c>
      <c r="Z229" s="39" t="s">
        <v>123</v>
      </c>
    </row>
    <row r="230" spans="1:26" ht="14.4" x14ac:dyDescent="0.3">
      <c r="A230" s="30" t="s">
        <v>9</v>
      </c>
      <c r="C230" s="54" t="s">
        <v>112</v>
      </c>
      <c r="D230" s="39" t="s">
        <v>478</v>
      </c>
      <c r="E230" t="s">
        <v>385</v>
      </c>
      <c r="F230" s="67" t="s">
        <v>257</v>
      </c>
      <c r="G230" s="22">
        <v>3</v>
      </c>
      <c r="H230" s="55">
        <v>7</v>
      </c>
      <c r="J230" s="55" t="s">
        <v>212</v>
      </c>
      <c r="L230" s="57" t="s">
        <v>213</v>
      </c>
      <c r="N230" s="34" t="s">
        <v>257</v>
      </c>
      <c r="O230" s="59" t="s">
        <v>214</v>
      </c>
      <c r="P230" s="34" t="s">
        <v>257</v>
      </c>
      <c r="Q230" s="52" t="s">
        <v>215</v>
      </c>
      <c r="R230" t="str">
        <f t="shared" si="0"/>
        <v>TLLCB Trip</v>
      </c>
      <c r="S230" t="s">
        <v>216</v>
      </c>
      <c r="T230">
        <v>1</v>
      </c>
      <c r="U230" t="s">
        <v>217</v>
      </c>
      <c r="V230">
        <v>0</v>
      </c>
      <c r="W230" t="s">
        <v>218</v>
      </c>
      <c r="X230" t="s">
        <v>39</v>
      </c>
      <c r="Y230" t="s">
        <v>219</v>
      </c>
      <c r="Z230" s="39" t="s">
        <v>123</v>
      </c>
    </row>
    <row r="231" spans="1:26" ht="14.4" x14ac:dyDescent="0.3">
      <c r="A231" s="30" t="s">
        <v>9</v>
      </c>
      <c r="C231" s="54" t="s">
        <v>112</v>
      </c>
      <c r="D231" s="39" t="s">
        <v>478</v>
      </c>
      <c r="E231" t="s">
        <v>386</v>
      </c>
      <c r="F231" s="67" t="s">
        <v>258</v>
      </c>
      <c r="G231" s="22">
        <v>3</v>
      </c>
      <c r="H231" s="39">
        <v>8</v>
      </c>
      <c r="J231" s="55" t="s">
        <v>212</v>
      </c>
      <c r="L231" s="57" t="s">
        <v>213</v>
      </c>
      <c r="N231" s="34" t="s">
        <v>258</v>
      </c>
      <c r="O231" s="59" t="s">
        <v>214</v>
      </c>
      <c r="P231" s="34" t="s">
        <v>258</v>
      </c>
      <c r="Q231" s="52" t="s">
        <v>215</v>
      </c>
      <c r="R231" t="str">
        <f t="shared" si="0"/>
        <v>TLRCB Trip</v>
      </c>
      <c r="S231" t="s">
        <v>216</v>
      </c>
      <c r="T231">
        <v>1</v>
      </c>
      <c r="U231" t="s">
        <v>217</v>
      </c>
      <c r="V231">
        <v>0</v>
      </c>
      <c r="W231" t="s">
        <v>218</v>
      </c>
      <c r="X231" t="s">
        <v>39</v>
      </c>
      <c r="Y231" t="s">
        <v>219</v>
      </c>
      <c r="Z231" s="39" t="s">
        <v>123</v>
      </c>
    </row>
    <row r="232" spans="1:26" ht="14.4" x14ac:dyDescent="0.3">
      <c r="A232" s="30" t="s">
        <v>9</v>
      </c>
      <c r="C232" s="54" t="s">
        <v>112</v>
      </c>
      <c r="D232" s="39" t="s">
        <v>478</v>
      </c>
      <c r="E232" t="s">
        <v>387</v>
      </c>
      <c r="F232" s="67" t="s">
        <v>259</v>
      </c>
      <c r="G232" s="22">
        <v>3</v>
      </c>
      <c r="H232" s="55">
        <v>9</v>
      </c>
      <c r="J232" s="55" t="s">
        <v>212</v>
      </c>
      <c r="L232" s="57" t="s">
        <v>213</v>
      </c>
      <c r="N232" s="34" t="s">
        <v>259</v>
      </c>
      <c r="O232" s="59" t="s">
        <v>214</v>
      </c>
      <c r="P232" s="34" t="s">
        <v>259</v>
      </c>
      <c r="Q232" s="52" t="s">
        <v>215</v>
      </c>
      <c r="R232" t="str">
        <f t="shared" si="0"/>
        <v>TRIVCB Trip</v>
      </c>
      <c r="S232" t="s">
        <v>216</v>
      </c>
      <c r="T232">
        <v>1</v>
      </c>
      <c r="U232" t="s">
        <v>217</v>
      </c>
      <c r="V232">
        <v>0</v>
      </c>
      <c r="W232" t="s">
        <v>218</v>
      </c>
      <c r="X232" t="s">
        <v>39</v>
      </c>
      <c r="Y232" t="s">
        <v>219</v>
      </c>
      <c r="Z232" s="39" t="s">
        <v>123</v>
      </c>
    </row>
    <row r="233" spans="1:26" ht="14.4" x14ac:dyDescent="0.3">
      <c r="A233" s="30" t="s">
        <v>9</v>
      </c>
      <c r="C233" s="54" t="s">
        <v>112</v>
      </c>
      <c r="D233" s="39" t="s">
        <v>478</v>
      </c>
      <c r="E233" t="s">
        <v>388</v>
      </c>
      <c r="F233" s="67" t="s">
        <v>260</v>
      </c>
      <c r="G233" s="42">
        <v>4</v>
      </c>
      <c r="H233" s="55">
        <v>0</v>
      </c>
      <c r="J233" s="55" t="s">
        <v>212</v>
      </c>
      <c r="L233" s="57" t="s">
        <v>213</v>
      </c>
      <c r="N233" s="34" t="s">
        <v>260</v>
      </c>
      <c r="O233" s="59" t="s">
        <v>214</v>
      </c>
      <c r="P233" s="34" t="s">
        <v>260</v>
      </c>
      <c r="Q233" s="52" t="s">
        <v>215</v>
      </c>
      <c r="R233" t="str">
        <f t="shared" si="0"/>
        <v>TVDUCB Trip</v>
      </c>
      <c r="S233" t="s">
        <v>216</v>
      </c>
      <c r="T233">
        <v>1</v>
      </c>
      <c r="U233" t="s">
        <v>217</v>
      </c>
      <c r="V233">
        <v>0</v>
      </c>
      <c r="W233" t="s">
        <v>218</v>
      </c>
      <c r="X233" t="s">
        <v>39</v>
      </c>
      <c r="Y233" t="s">
        <v>219</v>
      </c>
      <c r="Z233" s="39" t="s">
        <v>123</v>
      </c>
    </row>
    <row r="234" spans="1:26" ht="14.4" x14ac:dyDescent="0.3">
      <c r="A234" s="30" t="s">
        <v>9</v>
      </c>
      <c r="C234" s="54" t="s">
        <v>112</v>
      </c>
      <c r="D234" s="39" t="s">
        <v>478</v>
      </c>
      <c r="E234" t="s">
        <v>389</v>
      </c>
      <c r="F234" s="67" t="s">
        <v>261</v>
      </c>
      <c r="G234" s="42">
        <v>4</v>
      </c>
      <c r="H234" s="55">
        <v>1</v>
      </c>
      <c r="J234" s="55" t="s">
        <v>212</v>
      </c>
      <c r="L234" s="57" t="s">
        <v>213</v>
      </c>
      <c r="N234" s="34" t="s">
        <v>261</v>
      </c>
      <c r="O234" s="59" t="s">
        <v>214</v>
      </c>
      <c r="P234" s="34" t="s">
        <v>261</v>
      </c>
      <c r="Q234" s="52" t="s">
        <v>215</v>
      </c>
      <c r="R234" t="str">
        <f t="shared" si="0"/>
        <v>TWVCB Trip</v>
      </c>
      <c r="S234" t="s">
        <v>216</v>
      </c>
      <c r="T234">
        <v>1</v>
      </c>
      <c r="U234" t="s">
        <v>217</v>
      </c>
      <c r="V234">
        <v>0</v>
      </c>
      <c r="W234" t="s">
        <v>218</v>
      </c>
      <c r="X234" t="s">
        <v>39</v>
      </c>
      <c r="Y234" t="s">
        <v>219</v>
      </c>
      <c r="Z234" s="39" t="s">
        <v>123</v>
      </c>
    </row>
    <row r="235" spans="1:26" ht="14.4" x14ac:dyDescent="0.3">
      <c r="A235" s="30" t="s">
        <v>9</v>
      </c>
      <c r="C235" s="54" t="s">
        <v>112</v>
      </c>
      <c r="D235" s="39" t="s">
        <v>478</v>
      </c>
      <c r="E235" t="s">
        <v>390</v>
      </c>
      <c r="F235" s="67" t="s">
        <v>262</v>
      </c>
      <c r="G235" s="42">
        <v>4</v>
      </c>
      <c r="H235" s="39">
        <v>2</v>
      </c>
      <c r="J235" s="55" t="s">
        <v>212</v>
      </c>
      <c r="L235" s="57" t="s">
        <v>213</v>
      </c>
      <c r="N235" s="34" t="s">
        <v>262</v>
      </c>
      <c r="O235" s="59" t="s">
        <v>214</v>
      </c>
      <c r="P235" s="34" t="s">
        <v>262</v>
      </c>
      <c r="Q235" s="52" t="s">
        <v>215</v>
      </c>
      <c r="R235" t="str">
        <f t="shared" si="0"/>
        <v>VCCB Or UCCB Trip</v>
      </c>
      <c r="S235" t="s">
        <v>216</v>
      </c>
      <c r="T235">
        <v>1</v>
      </c>
      <c r="U235" t="s">
        <v>217</v>
      </c>
      <c r="V235">
        <v>0</v>
      </c>
      <c r="W235" t="s">
        <v>218</v>
      </c>
      <c r="X235" t="s">
        <v>39</v>
      </c>
      <c r="Y235" t="s">
        <v>219</v>
      </c>
      <c r="Z235" s="39" t="s">
        <v>123</v>
      </c>
    </row>
    <row r="236" spans="1:26" ht="14.4" x14ac:dyDescent="0.3">
      <c r="A236" s="30" t="s">
        <v>9</v>
      </c>
      <c r="C236" s="54" t="s">
        <v>112</v>
      </c>
      <c r="D236" s="39" t="s">
        <v>478</v>
      </c>
      <c r="E236" t="s">
        <v>391</v>
      </c>
      <c r="F236" s="67" t="s">
        <v>263</v>
      </c>
      <c r="G236" s="42">
        <v>4</v>
      </c>
      <c r="H236" s="55">
        <v>3</v>
      </c>
      <c r="J236" s="55" t="s">
        <v>212</v>
      </c>
      <c r="L236" s="57" t="s">
        <v>213</v>
      </c>
      <c r="N236" s="34" t="s">
        <v>263</v>
      </c>
      <c r="O236" s="59" t="s">
        <v>214</v>
      </c>
      <c r="P236" s="34" t="s">
        <v>263</v>
      </c>
      <c r="Q236" s="52" t="s">
        <v>215</v>
      </c>
      <c r="R236" t="str">
        <f t="shared" si="0"/>
        <v>VCBCCB Trip</v>
      </c>
      <c r="S236" t="s">
        <v>216</v>
      </c>
      <c r="T236">
        <v>1</v>
      </c>
      <c r="U236" t="s">
        <v>217</v>
      </c>
      <c r="V236">
        <v>0</v>
      </c>
      <c r="W236" t="s">
        <v>218</v>
      </c>
      <c r="X236" t="s">
        <v>39</v>
      </c>
      <c r="Y236" t="s">
        <v>219</v>
      </c>
      <c r="Z236" s="39" t="s">
        <v>123</v>
      </c>
    </row>
    <row r="237" spans="1:26" ht="14.4" x14ac:dyDescent="0.3">
      <c r="A237" s="30" t="s">
        <v>9</v>
      </c>
      <c r="C237" s="54" t="s">
        <v>112</v>
      </c>
      <c r="D237" s="39" t="s">
        <v>478</v>
      </c>
      <c r="E237" t="s">
        <v>392</v>
      </c>
      <c r="F237" s="67" t="s">
        <v>264</v>
      </c>
      <c r="G237" s="42">
        <v>4</v>
      </c>
      <c r="H237" s="55">
        <v>4</v>
      </c>
      <c r="J237" s="55" t="s">
        <v>212</v>
      </c>
      <c r="L237" s="57" t="s">
        <v>213</v>
      </c>
      <c r="N237" s="34" t="s">
        <v>264</v>
      </c>
      <c r="O237" s="59" t="s">
        <v>214</v>
      </c>
      <c r="P237" s="34" t="s">
        <v>264</v>
      </c>
      <c r="Q237" s="52" t="s">
        <v>215</v>
      </c>
      <c r="R237" t="str">
        <f t="shared" si="0"/>
        <v>VIO1CB Trip</v>
      </c>
      <c r="S237" t="s">
        <v>216</v>
      </c>
      <c r="T237">
        <v>1</v>
      </c>
      <c r="U237" t="s">
        <v>217</v>
      </c>
      <c r="V237">
        <v>0</v>
      </c>
      <c r="W237" t="s">
        <v>218</v>
      </c>
      <c r="X237" t="s">
        <v>39</v>
      </c>
      <c r="Y237" t="s">
        <v>219</v>
      </c>
      <c r="Z237" s="39" t="s">
        <v>123</v>
      </c>
    </row>
    <row r="238" spans="1:26" ht="14.4" x14ac:dyDescent="0.3">
      <c r="A238" s="30" t="s">
        <v>9</v>
      </c>
      <c r="C238" s="54" t="s">
        <v>112</v>
      </c>
      <c r="D238" s="39" t="s">
        <v>478</v>
      </c>
      <c r="E238" t="s">
        <v>393</v>
      </c>
      <c r="F238" s="67" t="s">
        <v>265</v>
      </c>
      <c r="G238" s="42">
        <v>4</v>
      </c>
      <c r="H238" s="39">
        <v>5</v>
      </c>
      <c r="J238" s="55" t="s">
        <v>212</v>
      </c>
      <c r="L238" s="57" t="s">
        <v>213</v>
      </c>
      <c r="N238" s="34" t="s">
        <v>265</v>
      </c>
      <c r="O238" s="59" t="s">
        <v>214</v>
      </c>
      <c r="P238" s="34" t="s">
        <v>265</v>
      </c>
      <c r="Q238" s="52" t="s">
        <v>215</v>
      </c>
      <c r="R238" t="str">
        <f t="shared" si="0"/>
        <v>VIO2CB Trip</v>
      </c>
      <c r="S238" t="s">
        <v>216</v>
      </c>
      <c r="T238">
        <v>1</v>
      </c>
      <c r="U238" t="s">
        <v>217</v>
      </c>
      <c r="V238">
        <v>0</v>
      </c>
      <c r="W238" t="s">
        <v>218</v>
      </c>
      <c r="X238" t="s">
        <v>39</v>
      </c>
      <c r="Y238" t="s">
        <v>219</v>
      </c>
      <c r="Z238" s="39" t="s">
        <v>123</v>
      </c>
    </row>
    <row r="239" spans="1:26" ht="14.4" x14ac:dyDescent="0.3">
      <c r="A239" s="30" t="s">
        <v>9</v>
      </c>
      <c r="C239" s="54" t="s">
        <v>112</v>
      </c>
      <c r="D239" s="39" t="s">
        <v>478</v>
      </c>
      <c r="E239" t="s">
        <v>394</v>
      </c>
      <c r="F239" s="67" t="s">
        <v>266</v>
      </c>
      <c r="G239" s="42">
        <v>4</v>
      </c>
      <c r="H239" s="55">
        <v>6</v>
      </c>
      <c r="J239" s="55" t="s">
        <v>212</v>
      </c>
      <c r="L239" s="57" t="s">
        <v>213</v>
      </c>
      <c r="N239" s="34" t="s">
        <v>266</v>
      </c>
      <c r="O239" s="59" t="s">
        <v>214</v>
      </c>
      <c r="P239" s="34" t="s">
        <v>266</v>
      </c>
      <c r="Q239" s="52" t="s">
        <v>215</v>
      </c>
      <c r="R239" t="str">
        <f t="shared" si="0"/>
        <v>WFLCB Trip</v>
      </c>
      <c r="S239" t="s">
        <v>216</v>
      </c>
      <c r="T239">
        <v>1</v>
      </c>
      <c r="U239" t="s">
        <v>217</v>
      </c>
      <c r="V239">
        <v>0</v>
      </c>
      <c r="W239" t="s">
        <v>218</v>
      </c>
      <c r="X239" t="s">
        <v>39</v>
      </c>
      <c r="Y239" t="s">
        <v>219</v>
      </c>
      <c r="Z239" s="39" t="s">
        <v>123</v>
      </c>
    </row>
    <row r="240" spans="1:26" ht="14.4" x14ac:dyDescent="0.3">
      <c r="A240" s="30" t="s">
        <v>9</v>
      </c>
      <c r="C240" s="54" t="s">
        <v>112</v>
      </c>
      <c r="D240" s="39" t="s">
        <v>478</v>
      </c>
      <c r="E240" t="s">
        <v>395</v>
      </c>
      <c r="F240" s="67" t="s">
        <v>267</v>
      </c>
      <c r="G240" s="42">
        <v>4</v>
      </c>
      <c r="H240" s="55">
        <v>7</v>
      </c>
      <c r="J240" s="55" t="s">
        <v>212</v>
      </c>
      <c r="L240" s="57" t="s">
        <v>213</v>
      </c>
      <c r="N240" s="34" t="s">
        <v>267</v>
      </c>
      <c r="O240" s="59" t="s">
        <v>214</v>
      </c>
      <c r="P240" s="34" t="s">
        <v>267</v>
      </c>
      <c r="Q240" s="52" t="s">
        <v>215</v>
      </c>
      <c r="R240" t="str">
        <f t="shared" si="0"/>
        <v>WIFICB Trip</v>
      </c>
      <c r="S240" t="s">
        <v>216</v>
      </c>
      <c r="T240">
        <v>1</v>
      </c>
      <c r="U240" t="s">
        <v>217</v>
      </c>
      <c r="V240">
        <v>0</v>
      </c>
      <c r="W240" t="s">
        <v>218</v>
      </c>
      <c r="X240" t="s">
        <v>39</v>
      </c>
      <c r="Y240" t="s">
        <v>219</v>
      </c>
      <c r="Z240" s="39" t="s">
        <v>123</v>
      </c>
    </row>
    <row r="241" spans="1:26" ht="14.4" x14ac:dyDescent="0.3">
      <c r="A241" s="30" t="s">
        <v>9</v>
      </c>
      <c r="C241" s="54" t="s">
        <v>112</v>
      </c>
      <c r="D241" s="39" t="s">
        <v>478</v>
      </c>
      <c r="E241" t="s">
        <v>396</v>
      </c>
      <c r="F241" s="67" t="s">
        <v>268</v>
      </c>
      <c r="G241" s="42">
        <v>4</v>
      </c>
      <c r="H241" s="39">
        <v>8</v>
      </c>
      <c r="J241" s="55" t="s">
        <v>212</v>
      </c>
      <c r="L241" s="57" t="s">
        <v>213</v>
      </c>
      <c r="N241" s="34" t="s">
        <v>268</v>
      </c>
      <c r="O241" s="59" t="s">
        <v>214</v>
      </c>
      <c r="P241" s="34" t="s">
        <v>268</v>
      </c>
      <c r="Q241" s="52" t="s">
        <v>215</v>
      </c>
      <c r="R241" t="str">
        <f t="shared" si="0"/>
        <v>WWCB Trip</v>
      </c>
      <c r="S241" t="s">
        <v>216</v>
      </c>
      <c r="T241">
        <v>1</v>
      </c>
      <c r="U241" t="s">
        <v>217</v>
      </c>
      <c r="V241">
        <v>0</v>
      </c>
      <c r="W241" t="s">
        <v>218</v>
      </c>
      <c r="X241" t="s">
        <v>39</v>
      </c>
      <c r="Y241" t="s">
        <v>219</v>
      </c>
      <c r="Z241" s="39" t="s">
        <v>123</v>
      </c>
    </row>
    <row r="242" spans="1:26" ht="14.4" x14ac:dyDescent="0.3">
      <c r="A242" s="30" t="s">
        <v>9</v>
      </c>
      <c r="C242" s="54" t="s">
        <v>112</v>
      </c>
      <c r="D242" s="39" t="s">
        <v>478</v>
      </c>
      <c r="E242" t="s">
        <v>397</v>
      </c>
      <c r="F242" s="67" t="s">
        <v>269</v>
      </c>
      <c r="G242" s="42">
        <v>4</v>
      </c>
      <c r="H242" s="55">
        <v>9</v>
      </c>
      <c r="J242" s="55" t="s">
        <v>212</v>
      </c>
      <c r="L242" s="57" t="s">
        <v>213</v>
      </c>
      <c r="N242" s="34" t="s">
        <v>269</v>
      </c>
      <c r="O242" s="59" t="s">
        <v>214</v>
      </c>
      <c r="P242" s="34" t="s">
        <v>269</v>
      </c>
      <c r="Q242" s="52" t="s">
        <v>215</v>
      </c>
      <c r="R242" t="str">
        <f t="shared" si="0"/>
        <v>BECUCB1 Trip</v>
      </c>
      <c r="S242" t="s">
        <v>216</v>
      </c>
      <c r="T242">
        <v>1</v>
      </c>
      <c r="U242" t="s">
        <v>217</v>
      </c>
      <c r="V242">
        <v>0</v>
      </c>
      <c r="W242" t="s">
        <v>218</v>
      </c>
      <c r="X242" t="s">
        <v>39</v>
      </c>
      <c r="Y242" t="s">
        <v>219</v>
      </c>
      <c r="Z242" s="39" t="s">
        <v>123</v>
      </c>
    </row>
    <row r="243" spans="1:26" ht="14.4" x14ac:dyDescent="0.3">
      <c r="A243" s="30" t="s">
        <v>9</v>
      </c>
      <c r="C243" s="54" t="s">
        <v>112</v>
      </c>
      <c r="D243" s="39" t="s">
        <v>478</v>
      </c>
      <c r="E243" t="s">
        <v>398</v>
      </c>
      <c r="F243" s="67" t="s">
        <v>270</v>
      </c>
      <c r="G243" s="42">
        <v>5</v>
      </c>
      <c r="H243" s="55">
        <v>0</v>
      </c>
      <c r="J243" s="55" t="s">
        <v>212</v>
      </c>
      <c r="L243" s="57" t="s">
        <v>213</v>
      </c>
      <c r="N243" s="34" t="s">
        <v>270</v>
      </c>
      <c r="O243" s="59" t="s">
        <v>214</v>
      </c>
      <c r="P243" s="34" t="s">
        <v>270</v>
      </c>
      <c r="Q243" s="52" t="s">
        <v>215</v>
      </c>
      <c r="R243" t="str">
        <f t="shared" si="0"/>
        <v>BECUCB2 Trip</v>
      </c>
      <c r="S243" t="s">
        <v>216</v>
      </c>
      <c r="T243">
        <v>1</v>
      </c>
      <c r="U243" t="s">
        <v>217</v>
      </c>
      <c r="V243">
        <v>0</v>
      </c>
      <c r="W243" t="s">
        <v>218</v>
      </c>
      <c r="X243" t="s">
        <v>39</v>
      </c>
      <c r="Y243" t="s">
        <v>219</v>
      </c>
      <c r="Z243" s="39" t="s">
        <v>123</v>
      </c>
    </row>
    <row r="244" spans="1:26" ht="14.4" x14ac:dyDescent="0.3">
      <c r="A244" s="30" t="s">
        <v>9</v>
      </c>
      <c r="C244" s="54" t="s">
        <v>112</v>
      </c>
      <c r="D244" s="39" t="s">
        <v>478</v>
      </c>
      <c r="E244" t="s">
        <v>399</v>
      </c>
      <c r="F244" s="67" t="s">
        <v>271</v>
      </c>
      <c r="G244" s="42">
        <v>5</v>
      </c>
      <c r="H244" s="55">
        <v>1</v>
      </c>
      <c r="J244" s="55" t="s">
        <v>212</v>
      </c>
      <c r="L244" s="57" t="s">
        <v>213</v>
      </c>
      <c r="N244" s="34" t="s">
        <v>271</v>
      </c>
      <c r="O244" s="59" t="s">
        <v>214</v>
      </c>
      <c r="P244" s="34" t="s">
        <v>271</v>
      </c>
      <c r="Q244" s="52" t="s">
        <v>215</v>
      </c>
      <c r="R244" t="str">
        <f t="shared" si="0"/>
        <v>BECUCB3 Trip</v>
      </c>
      <c r="S244" t="s">
        <v>216</v>
      </c>
      <c r="T244">
        <v>1</v>
      </c>
      <c r="U244" t="s">
        <v>217</v>
      </c>
      <c r="V244">
        <v>0</v>
      </c>
      <c r="W244" t="s">
        <v>218</v>
      </c>
      <c r="X244" t="s">
        <v>39</v>
      </c>
      <c r="Y244" t="s">
        <v>219</v>
      </c>
      <c r="Z244" s="39" t="s">
        <v>123</v>
      </c>
    </row>
    <row r="245" spans="1:26" ht="14.4" x14ac:dyDescent="0.3">
      <c r="A245" s="30" t="s">
        <v>9</v>
      </c>
      <c r="C245" s="54" t="s">
        <v>112</v>
      </c>
      <c r="D245" s="39" t="s">
        <v>478</v>
      </c>
      <c r="E245" t="s">
        <v>400</v>
      </c>
      <c r="F245" s="67" t="s">
        <v>272</v>
      </c>
      <c r="G245" s="42">
        <v>5</v>
      </c>
      <c r="H245" s="39">
        <v>2</v>
      </c>
      <c r="J245" s="55" t="s">
        <v>212</v>
      </c>
      <c r="L245" s="57" t="s">
        <v>213</v>
      </c>
      <c r="N245" s="34" t="s">
        <v>272</v>
      </c>
      <c r="O245" s="59" t="s">
        <v>214</v>
      </c>
      <c r="P245" s="34" t="s">
        <v>272</v>
      </c>
      <c r="Q245" s="52" t="s">
        <v>215</v>
      </c>
      <c r="R245" t="str">
        <f t="shared" si="0"/>
        <v>RSACB Trip</v>
      </c>
      <c r="S245" t="s">
        <v>216</v>
      </c>
      <c r="T245">
        <v>1</v>
      </c>
      <c r="U245" t="s">
        <v>217</v>
      </c>
      <c r="V245">
        <v>0</v>
      </c>
      <c r="W245" t="s">
        <v>218</v>
      </c>
      <c r="X245" t="s">
        <v>39</v>
      </c>
      <c r="Y245" t="s">
        <v>219</v>
      </c>
      <c r="Z245" s="39" t="s">
        <v>123</v>
      </c>
    </row>
    <row r="246" spans="1:26" ht="14.4" x14ac:dyDescent="0.3">
      <c r="A246" s="30" t="s">
        <v>9</v>
      </c>
      <c r="C246" s="54" t="s">
        <v>112</v>
      </c>
      <c r="D246" s="39" t="s">
        <v>478</v>
      </c>
      <c r="E246" t="s">
        <v>401</v>
      </c>
      <c r="F246" s="67" t="s">
        <v>273</v>
      </c>
      <c r="G246" s="42">
        <v>5</v>
      </c>
      <c r="H246" s="55">
        <v>3</v>
      </c>
      <c r="J246" s="55" t="s">
        <v>212</v>
      </c>
      <c r="L246" s="57" t="s">
        <v>213</v>
      </c>
      <c r="N246" s="34" t="s">
        <v>273</v>
      </c>
      <c r="O246" s="59" t="s">
        <v>214</v>
      </c>
      <c r="P246" s="34" t="s">
        <v>273</v>
      </c>
      <c r="Q246" s="52" t="s">
        <v>215</v>
      </c>
      <c r="R246" t="str">
        <f t="shared" si="0"/>
        <v>CMCCB Trip</v>
      </c>
      <c r="S246" t="s">
        <v>216</v>
      </c>
      <c r="T246">
        <v>1</v>
      </c>
      <c r="U246" t="s">
        <v>217</v>
      </c>
      <c r="V246">
        <v>0</v>
      </c>
      <c r="W246" t="s">
        <v>218</v>
      </c>
      <c r="X246" t="s">
        <v>39</v>
      </c>
      <c r="Y246" t="s">
        <v>219</v>
      </c>
      <c r="Z246" s="39" t="s">
        <v>123</v>
      </c>
    </row>
    <row r="247" spans="1:26" ht="14.4" x14ac:dyDescent="0.3">
      <c r="A247" s="30" t="s">
        <v>9</v>
      </c>
      <c r="C247" s="54" t="s">
        <v>112</v>
      </c>
      <c r="D247" s="39" t="s">
        <v>478</v>
      </c>
      <c r="E247" t="s">
        <v>402</v>
      </c>
      <c r="F247" s="67" t="s">
        <v>274</v>
      </c>
      <c r="G247" s="42">
        <v>5</v>
      </c>
      <c r="H247" s="55">
        <v>4</v>
      </c>
      <c r="J247" s="55" t="s">
        <v>212</v>
      </c>
      <c r="L247" s="57" t="s">
        <v>213</v>
      </c>
      <c r="N247" s="34" t="s">
        <v>274</v>
      </c>
      <c r="O247" s="59" t="s">
        <v>214</v>
      </c>
      <c r="P247" s="34" t="s">
        <v>274</v>
      </c>
      <c r="Q247" s="52" t="s">
        <v>215</v>
      </c>
      <c r="R247" t="str">
        <f t="shared" si="0"/>
        <v>CILCB Trip</v>
      </c>
      <c r="S247" t="s">
        <v>216</v>
      </c>
      <c r="T247">
        <v>1</v>
      </c>
      <c r="U247" t="s">
        <v>217</v>
      </c>
      <c r="V247">
        <v>0</v>
      </c>
      <c r="W247" t="s">
        <v>218</v>
      </c>
      <c r="X247" t="s">
        <v>39</v>
      </c>
      <c r="Y247" t="s">
        <v>219</v>
      </c>
      <c r="Z247" s="39" t="s">
        <v>123</v>
      </c>
    </row>
    <row r="248" spans="1:26" ht="14.4" x14ac:dyDescent="0.3">
      <c r="A248" s="30" t="s">
        <v>9</v>
      </c>
      <c r="C248" s="54" t="s">
        <v>112</v>
      </c>
      <c r="D248" s="39" t="s">
        <v>478</v>
      </c>
      <c r="E248" t="s">
        <v>403</v>
      </c>
      <c r="F248" s="67" t="s">
        <v>275</v>
      </c>
      <c r="G248" s="42">
        <v>5</v>
      </c>
      <c r="H248" s="39">
        <v>5</v>
      </c>
      <c r="J248" s="55" t="s">
        <v>212</v>
      </c>
      <c r="L248" s="57" t="s">
        <v>213</v>
      </c>
      <c r="N248" s="34" t="s">
        <v>275</v>
      </c>
      <c r="O248" s="59" t="s">
        <v>214</v>
      </c>
      <c r="P248" s="34" t="s">
        <v>275</v>
      </c>
      <c r="Q248" s="52" t="s">
        <v>215</v>
      </c>
      <c r="R248" t="str">
        <f t="shared" si="0"/>
        <v>CICB Trip</v>
      </c>
      <c r="S248" t="s">
        <v>216</v>
      </c>
      <c r="T248">
        <v>1</v>
      </c>
      <c r="U248" t="s">
        <v>217</v>
      </c>
      <c r="V248">
        <v>0</v>
      </c>
      <c r="W248" t="s">
        <v>218</v>
      </c>
      <c r="X248" t="s">
        <v>39</v>
      </c>
      <c r="Y248" t="s">
        <v>219</v>
      </c>
      <c r="Z248" s="39" t="s">
        <v>123</v>
      </c>
    </row>
    <row r="249" spans="1:26" ht="14.4" x14ac:dyDescent="0.3">
      <c r="A249" s="30" t="s">
        <v>9</v>
      </c>
      <c r="C249" s="54" t="s">
        <v>112</v>
      </c>
      <c r="D249" s="39" t="s">
        <v>478</v>
      </c>
      <c r="E249" t="s">
        <v>404</v>
      </c>
      <c r="F249" s="67" t="s">
        <v>276</v>
      </c>
      <c r="G249" s="42">
        <v>5</v>
      </c>
      <c r="H249" s="55">
        <v>6</v>
      </c>
      <c r="J249" s="55" t="s">
        <v>212</v>
      </c>
      <c r="L249" s="57" t="s">
        <v>213</v>
      </c>
      <c r="N249" s="34" t="s">
        <v>276</v>
      </c>
      <c r="O249" s="59" t="s">
        <v>214</v>
      </c>
      <c r="P249" s="34" t="s">
        <v>276</v>
      </c>
      <c r="Q249" s="52" t="s">
        <v>215</v>
      </c>
      <c r="R249" t="str">
        <f t="shared" si="0"/>
        <v>CELCB Trip</v>
      </c>
      <c r="S249" t="s">
        <v>216</v>
      </c>
      <c r="T249">
        <v>1</v>
      </c>
      <c r="U249" t="s">
        <v>217</v>
      </c>
      <c r="V249">
        <v>0</v>
      </c>
      <c r="W249" t="s">
        <v>218</v>
      </c>
      <c r="X249" t="s">
        <v>39</v>
      </c>
      <c r="Y249" t="s">
        <v>219</v>
      </c>
      <c r="Z249" s="39" t="s">
        <v>123</v>
      </c>
    </row>
    <row r="250" spans="1:26" ht="14.4" x14ac:dyDescent="0.3">
      <c r="A250" s="30" t="s">
        <v>9</v>
      </c>
      <c r="C250" s="54" t="s">
        <v>112</v>
      </c>
      <c r="D250" s="39" t="s">
        <v>478</v>
      </c>
      <c r="E250" t="s">
        <v>405</v>
      </c>
      <c r="F250" s="67" t="s">
        <v>277</v>
      </c>
      <c r="G250" s="42">
        <v>5</v>
      </c>
      <c r="H250" s="55">
        <v>7</v>
      </c>
      <c r="J250" s="55" t="s">
        <v>212</v>
      </c>
      <c r="L250" s="57" t="s">
        <v>213</v>
      </c>
      <c r="N250" s="34" t="s">
        <v>277</v>
      </c>
      <c r="O250" s="59" t="s">
        <v>214</v>
      </c>
      <c r="P250" s="34" t="s">
        <v>277</v>
      </c>
      <c r="Q250" s="52" t="s">
        <v>215</v>
      </c>
      <c r="R250" t="str">
        <f t="shared" si="0"/>
        <v>CECB Trip</v>
      </c>
      <c r="S250" t="s">
        <v>216</v>
      </c>
      <c r="T250">
        <v>1</v>
      </c>
      <c r="U250" t="s">
        <v>217</v>
      </c>
      <c r="V250">
        <v>0</v>
      </c>
      <c r="W250" t="s">
        <v>218</v>
      </c>
      <c r="X250" t="s">
        <v>39</v>
      </c>
      <c r="Y250" t="s">
        <v>219</v>
      </c>
      <c r="Z250" s="39" t="s">
        <v>123</v>
      </c>
    </row>
    <row r="251" spans="1:26" ht="14.4" x14ac:dyDescent="0.3">
      <c r="A251" s="30" t="s">
        <v>9</v>
      </c>
      <c r="C251" s="54" t="s">
        <v>112</v>
      </c>
      <c r="D251" s="39" t="s">
        <v>478</v>
      </c>
      <c r="E251" t="s">
        <v>406</v>
      </c>
      <c r="F251" s="67" t="s">
        <v>278</v>
      </c>
      <c r="G251" s="42">
        <v>5</v>
      </c>
      <c r="H251" s="39">
        <v>8</v>
      </c>
      <c r="J251" s="55" t="s">
        <v>212</v>
      </c>
      <c r="L251" s="57" t="s">
        <v>213</v>
      </c>
      <c r="N251" s="34" t="s">
        <v>278</v>
      </c>
      <c r="O251" s="59" t="s">
        <v>214</v>
      </c>
      <c r="P251" s="34" t="s">
        <v>278</v>
      </c>
      <c r="Q251" s="52" t="s">
        <v>215</v>
      </c>
      <c r="R251" t="str">
        <f t="shared" si="0"/>
        <v>CDUCB Trip</v>
      </c>
      <c r="S251" t="s">
        <v>216</v>
      </c>
      <c r="T251">
        <v>1</v>
      </c>
      <c r="U251" t="s">
        <v>217</v>
      </c>
      <c r="V251">
        <v>0</v>
      </c>
      <c r="W251" t="s">
        <v>218</v>
      </c>
      <c r="X251" t="s">
        <v>39</v>
      </c>
      <c r="Y251" t="s">
        <v>219</v>
      </c>
      <c r="Z251" s="39" t="s">
        <v>123</v>
      </c>
    </row>
    <row r="252" spans="1:26" ht="14.4" x14ac:dyDescent="0.3">
      <c r="A252" s="30" t="s">
        <v>9</v>
      </c>
      <c r="C252" s="54" t="s">
        <v>112</v>
      </c>
      <c r="D252" s="39" t="s">
        <v>478</v>
      </c>
      <c r="E252" t="s">
        <v>407</v>
      </c>
      <c r="F252" s="67" t="s">
        <v>279</v>
      </c>
      <c r="G252" s="42">
        <v>5</v>
      </c>
      <c r="H252" s="55">
        <v>9</v>
      </c>
      <c r="J252" s="55" t="s">
        <v>212</v>
      </c>
      <c r="L252" s="57" t="s">
        <v>213</v>
      </c>
      <c r="N252" s="34" t="s">
        <v>279</v>
      </c>
      <c r="O252" s="59" t="s">
        <v>214</v>
      </c>
      <c r="P252" s="34" t="s">
        <v>279</v>
      </c>
      <c r="Q252" s="52" t="s">
        <v>215</v>
      </c>
      <c r="R252" t="str">
        <f t="shared" si="0"/>
        <v>CCNVIO1CB Trip</v>
      </c>
      <c r="S252" t="s">
        <v>216</v>
      </c>
      <c r="T252">
        <v>1</v>
      </c>
      <c r="U252" t="s">
        <v>217</v>
      </c>
      <c r="V252">
        <v>0</v>
      </c>
      <c r="W252" t="s">
        <v>218</v>
      </c>
      <c r="X252" t="s">
        <v>39</v>
      </c>
      <c r="Y252" t="s">
        <v>219</v>
      </c>
      <c r="Z252" s="39" t="s">
        <v>123</v>
      </c>
    </row>
    <row r="253" spans="1:26" ht="14.4" x14ac:dyDescent="0.3">
      <c r="A253" s="30" t="s">
        <v>9</v>
      </c>
      <c r="C253" s="54" t="s">
        <v>112</v>
      </c>
      <c r="D253" s="39" t="s">
        <v>478</v>
      </c>
      <c r="E253" t="s">
        <v>408</v>
      </c>
      <c r="F253" s="67" t="s">
        <v>280</v>
      </c>
      <c r="G253" s="42">
        <v>6</v>
      </c>
      <c r="H253" s="55">
        <v>0</v>
      </c>
      <c r="J253" s="55" t="s">
        <v>212</v>
      </c>
      <c r="L253" s="57" t="s">
        <v>213</v>
      </c>
      <c r="N253" s="34" t="s">
        <v>280</v>
      </c>
      <c r="O253" s="59" t="s">
        <v>214</v>
      </c>
      <c r="P253" s="34" t="s">
        <v>280</v>
      </c>
      <c r="Q253" s="52" t="s">
        <v>215</v>
      </c>
      <c r="R253" t="str">
        <f t="shared" si="0"/>
        <v>CBTCCB1 Trip</v>
      </c>
      <c r="S253" t="s">
        <v>216</v>
      </c>
      <c r="T253">
        <v>1</v>
      </c>
      <c r="U253" t="s">
        <v>217</v>
      </c>
      <c r="V253">
        <v>0</v>
      </c>
      <c r="W253" t="s">
        <v>218</v>
      </c>
      <c r="X253" t="s">
        <v>39</v>
      </c>
      <c r="Y253" t="s">
        <v>219</v>
      </c>
      <c r="Z253" s="39" t="s">
        <v>123</v>
      </c>
    </row>
    <row r="254" spans="1:26" ht="14.4" x14ac:dyDescent="0.3">
      <c r="A254" s="30" t="s">
        <v>9</v>
      </c>
      <c r="C254" s="54" t="s">
        <v>112</v>
      </c>
      <c r="D254" s="39" t="s">
        <v>478</v>
      </c>
      <c r="E254" t="s">
        <v>409</v>
      </c>
      <c r="F254" s="67" t="s">
        <v>281</v>
      </c>
      <c r="G254" s="42">
        <v>6</v>
      </c>
      <c r="H254" s="55">
        <v>1</v>
      </c>
      <c r="J254" s="55" t="s">
        <v>212</v>
      </c>
      <c r="L254" s="57" t="s">
        <v>213</v>
      </c>
      <c r="N254" s="34" t="s">
        <v>281</v>
      </c>
      <c r="O254" s="59" t="s">
        <v>214</v>
      </c>
      <c r="P254" s="34" t="s">
        <v>281</v>
      </c>
      <c r="Q254" s="52" t="s">
        <v>215</v>
      </c>
      <c r="R254" t="str">
        <f t="shared" si="0"/>
        <v>CBFCCB Trip</v>
      </c>
      <c r="S254" t="s">
        <v>216</v>
      </c>
      <c r="T254">
        <v>1</v>
      </c>
      <c r="U254" t="s">
        <v>217</v>
      </c>
      <c r="V254">
        <v>0</v>
      </c>
      <c r="W254" t="s">
        <v>218</v>
      </c>
      <c r="X254" t="s">
        <v>39</v>
      </c>
      <c r="Y254" t="s">
        <v>219</v>
      </c>
      <c r="Z254" s="39" t="s">
        <v>123</v>
      </c>
    </row>
    <row r="255" spans="1:26" ht="14.4" x14ac:dyDescent="0.3">
      <c r="A255" s="30" t="s">
        <v>9</v>
      </c>
      <c r="C255" s="54" t="s">
        <v>112</v>
      </c>
      <c r="D255" s="39" t="s">
        <v>478</v>
      </c>
      <c r="E255" t="s">
        <v>410</v>
      </c>
      <c r="F255" s="67" t="s">
        <v>282</v>
      </c>
      <c r="G255" s="42">
        <v>6</v>
      </c>
      <c r="H255" s="39">
        <v>2</v>
      </c>
      <c r="J255" s="55" t="s">
        <v>212</v>
      </c>
      <c r="L255" s="57" t="s">
        <v>213</v>
      </c>
      <c r="N255" s="34" t="s">
        <v>282</v>
      </c>
      <c r="O255" s="59" t="s">
        <v>214</v>
      </c>
      <c r="P255" s="34" t="s">
        <v>282</v>
      </c>
      <c r="Q255" s="52" t="s">
        <v>215</v>
      </c>
      <c r="R255" t="str">
        <f t="shared" si="0"/>
        <v>CBFCB Trip</v>
      </c>
      <c r="S255" t="s">
        <v>216</v>
      </c>
      <c r="T255">
        <v>1</v>
      </c>
      <c r="U255" t="s">
        <v>217</v>
      </c>
      <c r="V255">
        <v>0</v>
      </c>
      <c r="W255" t="s">
        <v>218</v>
      </c>
      <c r="X255" t="s">
        <v>39</v>
      </c>
      <c r="Y255" t="s">
        <v>219</v>
      </c>
      <c r="Z255" s="39" t="s">
        <v>123</v>
      </c>
    </row>
    <row r="256" spans="1:26" ht="14.4" x14ac:dyDescent="0.3">
      <c r="A256" s="30" t="s">
        <v>9</v>
      </c>
      <c r="C256" s="54" t="s">
        <v>112</v>
      </c>
      <c r="D256" s="39" t="s">
        <v>478</v>
      </c>
      <c r="E256" t="s">
        <v>411</v>
      </c>
      <c r="F256" s="67" t="s">
        <v>283</v>
      </c>
      <c r="G256" s="42">
        <v>6</v>
      </c>
      <c r="H256" s="55">
        <v>3</v>
      </c>
      <c r="J256" s="55" t="s">
        <v>212</v>
      </c>
      <c r="L256" s="57" t="s">
        <v>213</v>
      </c>
      <c r="N256" s="34" t="s">
        <v>283</v>
      </c>
      <c r="O256" s="59" t="s">
        <v>214</v>
      </c>
      <c r="P256" s="34" t="s">
        <v>283</v>
      </c>
      <c r="Q256" s="52" t="s">
        <v>215</v>
      </c>
      <c r="R256" t="str">
        <f t="shared" si="0"/>
        <v>C1CB Trip</v>
      </c>
      <c r="S256" t="s">
        <v>216</v>
      </c>
      <c r="T256">
        <v>1</v>
      </c>
      <c r="U256" t="s">
        <v>217</v>
      </c>
      <c r="V256">
        <v>0</v>
      </c>
      <c r="W256" t="s">
        <v>218</v>
      </c>
      <c r="X256" t="s">
        <v>39</v>
      </c>
      <c r="Y256" t="s">
        <v>219</v>
      </c>
      <c r="Z256" s="39" t="s">
        <v>123</v>
      </c>
    </row>
    <row r="257" spans="1:26" ht="14.4" x14ac:dyDescent="0.3">
      <c r="A257" s="30" t="s">
        <v>9</v>
      </c>
      <c r="C257" s="54" t="s">
        <v>112</v>
      </c>
      <c r="D257" s="39" t="s">
        <v>478</v>
      </c>
      <c r="E257" t="s">
        <v>412</v>
      </c>
      <c r="F257" s="67" t="s">
        <v>284</v>
      </c>
      <c r="G257" s="42">
        <v>6</v>
      </c>
      <c r="H257" s="55">
        <v>4</v>
      </c>
      <c r="J257" s="55" t="s">
        <v>212</v>
      </c>
      <c r="L257" s="57" t="s">
        <v>213</v>
      </c>
      <c r="N257" s="34" t="s">
        <v>284</v>
      </c>
      <c r="O257" s="59" t="s">
        <v>214</v>
      </c>
      <c r="P257" s="34" t="s">
        <v>284</v>
      </c>
      <c r="Q257" s="52" t="s">
        <v>215</v>
      </c>
      <c r="R257" t="str">
        <f t="shared" si="0"/>
        <v>BLCB Trip</v>
      </c>
      <c r="S257" t="s">
        <v>216</v>
      </c>
      <c r="T257">
        <v>1</v>
      </c>
      <c r="U257" t="s">
        <v>217</v>
      </c>
      <c r="V257">
        <v>0</v>
      </c>
      <c r="W257" t="s">
        <v>218</v>
      </c>
      <c r="X257" t="s">
        <v>39</v>
      </c>
      <c r="Y257" t="s">
        <v>219</v>
      </c>
      <c r="Z257" s="39" t="s">
        <v>123</v>
      </c>
    </row>
    <row r="258" spans="1:26" ht="14.4" x14ac:dyDescent="0.3">
      <c r="A258" s="30" t="s">
        <v>9</v>
      </c>
      <c r="C258" s="54" t="s">
        <v>112</v>
      </c>
      <c r="D258" s="39" t="s">
        <v>478</v>
      </c>
      <c r="E258" t="s">
        <v>413</v>
      </c>
      <c r="F258" s="67" t="s">
        <v>285</v>
      </c>
      <c r="G258" s="42">
        <v>6</v>
      </c>
      <c r="H258" s="39">
        <v>5</v>
      </c>
      <c r="J258" s="55" t="s">
        <v>212</v>
      </c>
      <c r="L258" s="57" t="s">
        <v>213</v>
      </c>
      <c r="N258" s="34" t="s">
        <v>285</v>
      </c>
      <c r="O258" s="59" t="s">
        <v>214</v>
      </c>
      <c r="P258" s="34" t="s">
        <v>285</v>
      </c>
      <c r="Q258" s="52" t="s">
        <v>215</v>
      </c>
      <c r="R258" t="str">
        <f t="shared" ref="R258:R284" si="1">P258&amp;" Trip"</f>
        <v>ZVBACB Trip</v>
      </c>
      <c r="S258" t="s">
        <v>216</v>
      </c>
      <c r="T258">
        <v>1</v>
      </c>
      <c r="U258" t="s">
        <v>217</v>
      </c>
      <c r="V258">
        <v>0</v>
      </c>
      <c r="W258" t="s">
        <v>218</v>
      </c>
      <c r="X258" t="s">
        <v>39</v>
      </c>
      <c r="Y258" t="s">
        <v>219</v>
      </c>
      <c r="Z258" s="39" t="s">
        <v>123</v>
      </c>
    </row>
    <row r="259" spans="1:26" ht="14.4" x14ac:dyDescent="0.3">
      <c r="A259" s="30" t="s">
        <v>9</v>
      </c>
      <c r="C259" s="54" t="s">
        <v>112</v>
      </c>
      <c r="D259" s="39" t="s">
        <v>478</v>
      </c>
      <c r="E259" t="s">
        <v>705</v>
      </c>
      <c r="F259" s="67" t="s">
        <v>706</v>
      </c>
      <c r="G259" s="42">
        <v>6</v>
      </c>
      <c r="H259" s="55">
        <v>6</v>
      </c>
      <c r="J259" s="55" t="s">
        <v>212</v>
      </c>
      <c r="L259" s="57" t="s">
        <v>213</v>
      </c>
      <c r="N259" s="34" t="s">
        <v>706</v>
      </c>
      <c r="O259" s="59" t="s">
        <v>214</v>
      </c>
      <c r="P259" s="34" t="s">
        <v>706</v>
      </c>
      <c r="Q259" s="52" t="s">
        <v>215</v>
      </c>
      <c r="R259" t="str">
        <f t="shared" si="1"/>
        <v>EBLR1CB Trip</v>
      </c>
      <c r="S259" t="s">
        <v>216</v>
      </c>
      <c r="T259">
        <v>1</v>
      </c>
      <c r="U259" t="s">
        <v>217</v>
      </c>
      <c r="V259">
        <v>0</v>
      </c>
      <c r="W259" t="s">
        <v>218</v>
      </c>
      <c r="X259" t="s">
        <v>39</v>
      </c>
      <c r="Y259" t="s">
        <v>219</v>
      </c>
      <c r="Z259" s="39" t="s">
        <v>123</v>
      </c>
    </row>
    <row r="260" spans="1:26" ht="14.4" x14ac:dyDescent="0.3">
      <c r="A260" s="30" t="s">
        <v>9</v>
      </c>
      <c r="C260" s="54" t="s">
        <v>112</v>
      </c>
      <c r="D260" s="39" t="s">
        <v>478</v>
      </c>
      <c r="E260" t="s">
        <v>414</v>
      </c>
      <c r="F260" s="67" t="s">
        <v>286</v>
      </c>
      <c r="G260" s="42">
        <v>6</v>
      </c>
      <c r="H260" s="55">
        <v>7</v>
      </c>
      <c r="J260" s="55" t="s">
        <v>212</v>
      </c>
      <c r="L260" s="57" t="s">
        <v>213</v>
      </c>
      <c r="N260" s="34" t="s">
        <v>286</v>
      </c>
      <c r="O260" s="59" t="s">
        <v>214</v>
      </c>
      <c r="P260" s="34" t="s">
        <v>286</v>
      </c>
      <c r="Q260" s="52" t="s">
        <v>215</v>
      </c>
      <c r="R260" t="str">
        <f t="shared" si="1"/>
        <v>DRCB Trip</v>
      </c>
      <c r="S260" t="s">
        <v>216</v>
      </c>
      <c r="T260">
        <v>1</v>
      </c>
      <c r="U260" t="s">
        <v>217</v>
      </c>
      <c r="V260">
        <v>0</v>
      </c>
      <c r="W260" t="s">
        <v>218</v>
      </c>
      <c r="X260" t="s">
        <v>39</v>
      </c>
      <c r="Y260" t="s">
        <v>219</v>
      </c>
      <c r="Z260" s="39" t="s">
        <v>123</v>
      </c>
    </row>
    <row r="261" spans="1:26" ht="14.4" x14ac:dyDescent="0.3">
      <c r="A261" s="30" t="s">
        <v>9</v>
      </c>
      <c r="C261" s="54" t="s">
        <v>112</v>
      </c>
      <c r="D261" s="39" t="s">
        <v>478</v>
      </c>
      <c r="E261" t="s">
        <v>415</v>
      </c>
      <c r="F261" s="67" t="s">
        <v>287</v>
      </c>
      <c r="G261" s="42">
        <v>6</v>
      </c>
      <c r="H261" s="39">
        <v>8</v>
      </c>
      <c r="J261" s="55" t="s">
        <v>212</v>
      </c>
      <c r="L261" s="57" t="s">
        <v>213</v>
      </c>
      <c r="N261" s="34" t="s">
        <v>287</v>
      </c>
      <c r="O261" s="59" t="s">
        <v>214</v>
      </c>
      <c r="P261" s="34" t="s">
        <v>287</v>
      </c>
      <c r="Q261" s="52" t="s">
        <v>215</v>
      </c>
      <c r="R261" t="str">
        <f t="shared" si="1"/>
        <v>DPLCB Trip</v>
      </c>
      <c r="S261" t="s">
        <v>216</v>
      </c>
      <c r="T261">
        <v>1</v>
      </c>
      <c r="U261" t="s">
        <v>217</v>
      </c>
      <c r="V261">
        <v>0</v>
      </c>
      <c r="W261" t="s">
        <v>218</v>
      </c>
      <c r="X261" t="s">
        <v>39</v>
      </c>
      <c r="Y261" t="s">
        <v>219</v>
      </c>
      <c r="Z261" s="39" t="s">
        <v>123</v>
      </c>
    </row>
    <row r="262" spans="1:26" ht="14.4" x14ac:dyDescent="0.3">
      <c r="A262" s="30" t="s">
        <v>9</v>
      </c>
      <c r="C262" s="54" t="s">
        <v>112</v>
      </c>
      <c r="D262" s="39" t="s">
        <v>478</v>
      </c>
      <c r="E262" t="s">
        <v>416</v>
      </c>
      <c r="F262" s="67" t="s">
        <v>288</v>
      </c>
      <c r="G262" s="42">
        <v>6</v>
      </c>
      <c r="H262" s="55">
        <v>9</v>
      </c>
      <c r="J262" s="55" t="s">
        <v>212</v>
      </c>
      <c r="L262" s="57" t="s">
        <v>213</v>
      </c>
      <c r="N262" s="34" t="s">
        <v>288</v>
      </c>
      <c r="O262" s="59" t="s">
        <v>214</v>
      </c>
      <c r="P262" s="34" t="s">
        <v>288</v>
      </c>
      <c r="Q262" s="52" t="s">
        <v>215</v>
      </c>
      <c r="R262" t="str">
        <f t="shared" si="1"/>
        <v>DMICB Trip</v>
      </c>
      <c r="S262" t="s">
        <v>216</v>
      </c>
      <c r="T262">
        <v>1</v>
      </c>
      <c r="U262" t="s">
        <v>217</v>
      </c>
      <c r="V262">
        <v>0</v>
      </c>
      <c r="W262" t="s">
        <v>218</v>
      </c>
      <c r="X262" t="s">
        <v>39</v>
      </c>
      <c r="Y262" t="s">
        <v>219</v>
      </c>
      <c r="Z262" s="39" t="s">
        <v>123</v>
      </c>
    </row>
    <row r="263" spans="1:26" ht="14.4" x14ac:dyDescent="0.3">
      <c r="A263" s="30" t="s">
        <v>9</v>
      </c>
      <c r="C263" s="54" t="s">
        <v>112</v>
      </c>
      <c r="D263" s="39" t="s">
        <v>478</v>
      </c>
      <c r="E263" t="s">
        <v>417</v>
      </c>
      <c r="F263" s="67" t="s">
        <v>289</v>
      </c>
      <c r="G263" s="42">
        <v>7</v>
      </c>
      <c r="H263" s="55">
        <v>0</v>
      </c>
      <c r="J263" s="55" t="s">
        <v>212</v>
      </c>
      <c r="L263" s="57" t="s">
        <v>213</v>
      </c>
      <c r="N263" s="34" t="s">
        <v>289</v>
      </c>
      <c r="O263" s="59" t="s">
        <v>214</v>
      </c>
      <c r="P263" s="34" t="s">
        <v>289</v>
      </c>
      <c r="Q263" s="52" t="s">
        <v>215</v>
      </c>
      <c r="R263" t="str">
        <f t="shared" si="1"/>
        <v>DLCB Trip</v>
      </c>
      <c r="S263" t="s">
        <v>216</v>
      </c>
      <c r="T263">
        <v>1</v>
      </c>
      <c r="U263" t="s">
        <v>217</v>
      </c>
      <c r="V263">
        <v>0</v>
      </c>
      <c r="W263" t="s">
        <v>218</v>
      </c>
      <c r="X263" t="s">
        <v>39</v>
      </c>
      <c r="Y263" t="s">
        <v>219</v>
      </c>
      <c r="Z263" s="39" t="s">
        <v>123</v>
      </c>
    </row>
    <row r="264" spans="1:26" ht="14.4" x14ac:dyDescent="0.3">
      <c r="A264" s="30" t="s">
        <v>9</v>
      </c>
      <c r="C264" s="54" t="s">
        <v>112</v>
      </c>
      <c r="D264" s="39" t="s">
        <v>478</v>
      </c>
      <c r="E264" t="s">
        <v>418</v>
      </c>
      <c r="F264" s="67" t="s">
        <v>290</v>
      </c>
      <c r="G264" s="42">
        <v>7</v>
      </c>
      <c r="H264" s="55">
        <v>1</v>
      </c>
      <c r="J264" s="55" t="s">
        <v>212</v>
      </c>
      <c r="L264" s="57" t="s">
        <v>213</v>
      </c>
      <c r="N264" s="34" t="s">
        <v>290</v>
      </c>
      <c r="O264" s="59" t="s">
        <v>214</v>
      </c>
      <c r="P264" s="34" t="s">
        <v>290</v>
      </c>
      <c r="Q264" s="52" t="s">
        <v>215</v>
      </c>
      <c r="R264" t="str">
        <f t="shared" si="1"/>
        <v>DIOCB2 Trip</v>
      </c>
      <c r="S264" t="s">
        <v>216</v>
      </c>
      <c r="T264">
        <v>1</v>
      </c>
      <c r="U264" t="s">
        <v>217</v>
      </c>
      <c r="V264">
        <v>0</v>
      </c>
      <c r="W264" t="s">
        <v>218</v>
      </c>
      <c r="X264" t="s">
        <v>39</v>
      </c>
      <c r="Y264" t="s">
        <v>219</v>
      </c>
      <c r="Z264" s="39" t="s">
        <v>123</v>
      </c>
    </row>
    <row r="265" spans="1:26" ht="14.4" x14ac:dyDescent="0.3">
      <c r="A265" s="30" t="s">
        <v>9</v>
      </c>
      <c r="C265" s="54" t="s">
        <v>112</v>
      </c>
      <c r="D265" s="39" t="s">
        <v>478</v>
      </c>
      <c r="E265" t="s">
        <v>419</v>
      </c>
      <c r="F265" s="67" t="s">
        <v>291</v>
      </c>
      <c r="G265" s="42">
        <v>7</v>
      </c>
      <c r="H265" s="39">
        <v>2</v>
      </c>
      <c r="J265" s="55" t="s">
        <v>212</v>
      </c>
      <c r="L265" s="57" t="s">
        <v>213</v>
      </c>
      <c r="N265" s="34" t="s">
        <v>291</v>
      </c>
      <c r="O265" s="59" t="s">
        <v>214</v>
      </c>
      <c r="P265" s="34" t="s">
        <v>291</v>
      </c>
      <c r="Q265" s="52" t="s">
        <v>215</v>
      </c>
      <c r="R265" t="str">
        <f t="shared" si="1"/>
        <v>DIOCB1 Trip</v>
      </c>
      <c r="S265" t="s">
        <v>216</v>
      </c>
      <c r="T265">
        <v>1</v>
      </c>
      <c r="U265" t="s">
        <v>217</v>
      </c>
      <c r="V265">
        <v>0</v>
      </c>
      <c r="W265" t="s">
        <v>218</v>
      </c>
      <c r="X265" t="s">
        <v>39</v>
      </c>
      <c r="Y265" t="s">
        <v>219</v>
      </c>
      <c r="Z265" s="39" t="s">
        <v>123</v>
      </c>
    </row>
    <row r="266" spans="1:26" ht="14.4" x14ac:dyDescent="0.3">
      <c r="A266" s="30" t="s">
        <v>9</v>
      </c>
      <c r="C266" s="54" t="s">
        <v>112</v>
      </c>
      <c r="D266" s="39" t="s">
        <v>478</v>
      </c>
      <c r="E266" t="s">
        <v>420</v>
      </c>
      <c r="F266" s="67" t="s">
        <v>292</v>
      </c>
      <c r="G266" s="42">
        <v>7</v>
      </c>
      <c r="H266" s="55">
        <v>3</v>
      </c>
      <c r="J266" s="55" t="s">
        <v>212</v>
      </c>
      <c r="L266" s="57" t="s">
        <v>213</v>
      </c>
      <c r="N266" s="34" t="s">
        <v>292</v>
      </c>
      <c r="O266" s="59" t="s">
        <v>214</v>
      </c>
      <c r="P266" s="34" t="s">
        <v>292</v>
      </c>
      <c r="Q266" s="52" t="s">
        <v>215</v>
      </c>
      <c r="R266" t="str">
        <f t="shared" si="1"/>
        <v>CSCCB Trip</v>
      </c>
      <c r="S266" t="s">
        <v>216</v>
      </c>
      <c r="T266">
        <v>1</v>
      </c>
      <c r="U266" t="s">
        <v>217</v>
      </c>
      <c r="V266">
        <v>0</v>
      </c>
      <c r="W266" t="s">
        <v>218</v>
      </c>
      <c r="X266" t="s">
        <v>39</v>
      </c>
      <c r="Y266" t="s">
        <v>219</v>
      </c>
      <c r="Z266" s="39" t="s">
        <v>123</v>
      </c>
    </row>
    <row r="267" spans="1:26" ht="14.4" x14ac:dyDescent="0.3">
      <c r="A267" s="30" t="s">
        <v>9</v>
      </c>
      <c r="C267" s="54" t="s">
        <v>112</v>
      </c>
      <c r="D267" s="39" t="s">
        <v>478</v>
      </c>
      <c r="E267" t="s">
        <v>421</v>
      </c>
      <c r="F267" s="67" t="s">
        <v>293</v>
      </c>
      <c r="G267" s="42">
        <v>7</v>
      </c>
      <c r="H267" s="55">
        <v>4</v>
      </c>
      <c r="J267" s="55" t="s">
        <v>212</v>
      </c>
      <c r="L267" s="57" t="s">
        <v>213</v>
      </c>
      <c r="N267" s="34" t="s">
        <v>293</v>
      </c>
      <c r="O267" s="59" t="s">
        <v>214</v>
      </c>
      <c r="P267" s="34" t="s">
        <v>293</v>
      </c>
      <c r="Q267" s="52" t="s">
        <v>215</v>
      </c>
      <c r="R267" t="str">
        <f t="shared" si="1"/>
        <v>CSBCB Trip</v>
      </c>
      <c r="S267" t="s">
        <v>216</v>
      </c>
      <c r="T267">
        <v>1</v>
      </c>
      <c r="U267" t="s">
        <v>217</v>
      </c>
      <c r="V267">
        <v>0</v>
      </c>
      <c r="W267" t="s">
        <v>218</v>
      </c>
      <c r="X267" t="s">
        <v>39</v>
      </c>
      <c r="Y267" t="s">
        <v>219</v>
      </c>
      <c r="Z267" s="39" t="s">
        <v>123</v>
      </c>
    </row>
    <row r="268" spans="1:26" ht="14.4" x14ac:dyDescent="0.3">
      <c r="A268" s="30" t="s">
        <v>9</v>
      </c>
      <c r="C268" s="54" t="s">
        <v>112</v>
      </c>
      <c r="D268" s="39" t="s">
        <v>478</v>
      </c>
      <c r="E268" t="s">
        <v>422</v>
      </c>
      <c r="F268" s="67" t="s">
        <v>294</v>
      </c>
      <c r="G268" s="42">
        <v>7</v>
      </c>
      <c r="H268" s="39">
        <v>5</v>
      </c>
      <c r="J268" s="55" t="s">
        <v>212</v>
      </c>
      <c r="L268" s="57" t="s">
        <v>213</v>
      </c>
      <c r="N268" s="34" t="s">
        <v>294</v>
      </c>
      <c r="O268" s="59" t="s">
        <v>214</v>
      </c>
      <c r="P268" s="34" t="s">
        <v>294</v>
      </c>
      <c r="Q268" s="52" t="s">
        <v>215</v>
      </c>
      <c r="R268" t="str">
        <f t="shared" si="1"/>
        <v>CSACB Trip</v>
      </c>
      <c r="S268" t="s">
        <v>216</v>
      </c>
      <c r="T268">
        <v>1</v>
      </c>
      <c r="U268" t="s">
        <v>217</v>
      </c>
      <c r="V268">
        <v>0</v>
      </c>
      <c r="W268" t="s">
        <v>218</v>
      </c>
      <c r="X268" t="s">
        <v>39</v>
      </c>
      <c r="Y268" t="s">
        <v>219</v>
      </c>
      <c r="Z268" s="39" t="s">
        <v>123</v>
      </c>
    </row>
    <row r="269" spans="1:26" ht="14.4" x14ac:dyDescent="0.3">
      <c r="A269" s="30" t="s">
        <v>9</v>
      </c>
      <c r="C269" s="54" t="s">
        <v>112</v>
      </c>
      <c r="D269" s="39" t="s">
        <v>478</v>
      </c>
      <c r="E269" t="s">
        <v>423</v>
      </c>
      <c r="F269" s="67" t="s">
        <v>295</v>
      </c>
      <c r="G269" s="42">
        <v>7</v>
      </c>
      <c r="H269" s="55">
        <v>6</v>
      </c>
      <c r="J269" s="55" t="s">
        <v>212</v>
      </c>
      <c r="L269" s="57" t="s">
        <v>213</v>
      </c>
      <c r="N269" s="34" t="s">
        <v>295</v>
      </c>
      <c r="O269" s="59" t="s">
        <v>214</v>
      </c>
      <c r="P269" s="34" t="s">
        <v>295</v>
      </c>
      <c r="Q269" s="52" t="s">
        <v>215</v>
      </c>
      <c r="R269" t="str">
        <f t="shared" si="1"/>
        <v>CRSBCB Trip</v>
      </c>
      <c r="S269" t="s">
        <v>216</v>
      </c>
      <c r="T269">
        <v>1</v>
      </c>
      <c r="U269" t="s">
        <v>217</v>
      </c>
      <c r="V269">
        <v>0</v>
      </c>
      <c r="W269" t="s">
        <v>218</v>
      </c>
      <c r="X269" t="s">
        <v>39</v>
      </c>
      <c r="Y269" t="s">
        <v>219</v>
      </c>
      <c r="Z269" s="39" t="s">
        <v>123</v>
      </c>
    </row>
    <row r="270" spans="1:26" ht="14.4" x14ac:dyDescent="0.3">
      <c r="A270" s="30" t="s">
        <v>9</v>
      </c>
      <c r="C270" s="54" t="s">
        <v>112</v>
      </c>
      <c r="D270" s="39" t="s">
        <v>478</v>
      </c>
      <c r="E270" t="s">
        <v>424</v>
      </c>
      <c r="F270" s="67" t="s">
        <v>296</v>
      </c>
      <c r="G270" s="42">
        <v>7</v>
      </c>
      <c r="H270" s="55">
        <v>7</v>
      </c>
      <c r="J270" s="55" t="s">
        <v>212</v>
      </c>
      <c r="L270" s="57" t="s">
        <v>213</v>
      </c>
      <c r="N270" s="34" t="s">
        <v>296</v>
      </c>
      <c r="O270" s="59" t="s">
        <v>214</v>
      </c>
      <c r="P270" s="34" t="s">
        <v>296</v>
      </c>
      <c r="Q270" s="52" t="s">
        <v>215</v>
      </c>
      <c r="R270" t="str">
        <f t="shared" si="1"/>
        <v>SOCB2 Trip</v>
      </c>
      <c r="S270" t="s">
        <v>216</v>
      </c>
      <c r="T270">
        <v>1</v>
      </c>
      <c r="U270" t="s">
        <v>217</v>
      </c>
      <c r="V270">
        <v>0</v>
      </c>
      <c r="W270" t="s">
        <v>218</v>
      </c>
      <c r="X270" t="s">
        <v>39</v>
      </c>
      <c r="Y270" t="s">
        <v>219</v>
      </c>
      <c r="Z270" s="39" t="s">
        <v>123</v>
      </c>
    </row>
    <row r="271" spans="1:26" ht="14.4" x14ac:dyDescent="0.3">
      <c r="A271" s="30" t="s">
        <v>9</v>
      </c>
      <c r="C271" s="54" t="s">
        <v>112</v>
      </c>
      <c r="D271" s="39" t="s">
        <v>478</v>
      </c>
      <c r="E271" t="s">
        <v>425</v>
      </c>
      <c r="F271" s="67" t="s">
        <v>297</v>
      </c>
      <c r="G271" s="42">
        <v>7</v>
      </c>
      <c r="H271" s="39">
        <v>8</v>
      </c>
      <c r="J271" s="55" t="s">
        <v>212</v>
      </c>
      <c r="L271" s="57" t="s">
        <v>213</v>
      </c>
      <c r="N271" s="34" t="s">
        <v>297</v>
      </c>
      <c r="O271" s="59" t="s">
        <v>214</v>
      </c>
      <c r="P271" s="34" t="s">
        <v>297</v>
      </c>
      <c r="Q271" s="52" t="s">
        <v>215</v>
      </c>
      <c r="R271" t="str">
        <f t="shared" si="1"/>
        <v>SOCB1 Trip</v>
      </c>
      <c r="S271" t="s">
        <v>216</v>
      </c>
      <c r="T271">
        <v>1</v>
      </c>
      <c r="U271" t="s">
        <v>217</v>
      </c>
      <c r="V271">
        <v>0</v>
      </c>
      <c r="W271" t="s">
        <v>218</v>
      </c>
      <c r="X271" t="s">
        <v>39</v>
      </c>
      <c r="Y271" t="s">
        <v>219</v>
      </c>
      <c r="Z271" s="39" t="s">
        <v>123</v>
      </c>
    </row>
    <row r="272" spans="1:26" ht="14.4" x14ac:dyDescent="0.3">
      <c r="A272" s="30" t="s">
        <v>9</v>
      </c>
      <c r="C272" s="54" t="s">
        <v>112</v>
      </c>
      <c r="D272" s="39" t="s">
        <v>478</v>
      </c>
      <c r="E272" t="s">
        <v>426</v>
      </c>
      <c r="F272" s="67" t="s">
        <v>298</v>
      </c>
      <c r="G272" s="42">
        <v>7</v>
      </c>
      <c r="H272" s="55">
        <v>9</v>
      </c>
      <c r="J272" s="55" t="s">
        <v>212</v>
      </c>
      <c r="L272" s="57" t="s">
        <v>213</v>
      </c>
      <c r="N272" s="34" t="s">
        <v>298</v>
      </c>
      <c r="O272" s="59" t="s">
        <v>214</v>
      </c>
      <c r="P272" s="34" t="s">
        <v>298</v>
      </c>
      <c r="Q272" s="52" t="s">
        <v>215</v>
      </c>
      <c r="R272" t="str">
        <f t="shared" si="1"/>
        <v>MSOCB5 Trip</v>
      </c>
      <c r="S272" t="s">
        <v>216</v>
      </c>
      <c r="T272">
        <v>1</v>
      </c>
      <c r="U272" t="s">
        <v>217</v>
      </c>
      <c r="V272">
        <v>0</v>
      </c>
      <c r="W272" t="s">
        <v>218</v>
      </c>
      <c r="X272" t="s">
        <v>39</v>
      </c>
      <c r="Y272" t="s">
        <v>219</v>
      </c>
      <c r="Z272" s="39" t="s">
        <v>123</v>
      </c>
    </row>
    <row r="273" spans="1:26" ht="14.4" x14ac:dyDescent="0.3">
      <c r="A273" s="30" t="s">
        <v>9</v>
      </c>
      <c r="C273" s="54" t="s">
        <v>112</v>
      </c>
      <c r="D273" s="39" t="s">
        <v>478</v>
      </c>
      <c r="E273" t="s">
        <v>427</v>
      </c>
      <c r="F273" s="67" t="s">
        <v>299</v>
      </c>
      <c r="G273" s="42">
        <v>8</v>
      </c>
      <c r="H273" s="55">
        <v>0</v>
      </c>
      <c r="J273" s="55" t="s">
        <v>212</v>
      </c>
      <c r="L273" s="57" t="s">
        <v>213</v>
      </c>
      <c r="N273" s="34" t="s">
        <v>299</v>
      </c>
      <c r="O273" s="59" t="s">
        <v>214</v>
      </c>
      <c r="P273" s="34" t="s">
        <v>299</v>
      </c>
      <c r="Q273" s="52" t="s">
        <v>215</v>
      </c>
      <c r="R273" t="str">
        <f t="shared" si="1"/>
        <v>MSOCB4 Trip</v>
      </c>
      <c r="S273" t="s">
        <v>216</v>
      </c>
      <c r="T273">
        <v>1</v>
      </c>
      <c r="U273" t="s">
        <v>217</v>
      </c>
      <c r="V273">
        <v>0</v>
      </c>
      <c r="W273" t="s">
        <v>218</v>
      </c>
      <c r="X273" t="s">
        <v>39</v>
      </c>
      <c r="Y273" t="s">
        <v>219</v>
      </c>
      <c r="Z273" s="39" t="s">
        <v>123</v>
      </c>
    </row>
    <row r="274" spans="1:26" ht="14.4" x14ac:dyDescent="0.3">
      <c r="A274" s="30" t="s">
        <v>9</v>
      </c>
      <c r="C274" s="54" t="s">
        <v>112</v>
      </c>
      <c r="D274" s="39" t="s">
        <v>478</v>
      </c>
      <c r="E274" t="s">
        <v>428</v>
      </c>
      <c r="F274" s="67" t="s">
        <v>300</v>
      </c>
      <c r="G274" s="42">
        <v>8</v>
      </c>
      <c r="H274" s="55">
        <v>1</v>
      </c>
      <c r="J274" s="55" t="s">
        <v>212</v>
      </c>
      <c r="L274" s="57" t="s">
        <v>213</v>
      </c>
      <c r="N274" s="34" t="s">
        <v>300</v>
      </c>
      <c r="O274" s="59" t="s">
        <v>214</v>
      </c>
      <c r="P274" s="34" t="s">
        <v>300</v>
      </c>
      <c r="Q274" s="52" t="s">
        <v>215</v>
      </c>
      <c r="R274" t="str">
        <f t="shared" si="1"/>
        <v>MSOCB3 Trip</v>
      </c>
      <c r="S274" t="s">
        <v>216</v>
      </c>
      <c r="T274">
        <v>1</v>
      </c>
      <c r="U274" t="s">
        <v>217</v>
      </c>
      <c r="V274">
        <v>0</v>
      </c>
      <c r="W274" t="s">
        <v>218</v>
      </c>
      <c r="X274" t="s">
        <v>39</v>
      </c>
      <c r="Y274" t="s">
        <v>219</v>
      </c>
      <c r="Z274" s="39" t="s">
        <v>123</v>
      </c>
    </row>
    <row r="275" spans="1:26" ht="14.4" x14ac:dyDescent="0.3">
      <c r="A275" s="30" t="s">
        <v>9</v>
      </c>
      <c r="C275" s="54" t="s">
        <v>112</v>
      </c>
      <c r="D275" s="39" t="s">
        <v>478</v>
      </c>
      <c r="E275" t="s">
        <v>429</v>
      </c>
      <c r="F275" s="67" t="s">
        <v>301</v>
      </c>
      <c r="G275" s="42">
        <v>8</v>
      </c>
      <c r="H275" s="39">
        <v>2</v>
      </c>
      <c r="J275" s="55" t="s">
        <v>212</v>
      </c>
      <c r="L275" s="57" t="s">
        <v>213</v>
      </c>
      <c r="N275" s="34" t="s">
        <v>301</v>
      </c>
      <c r="O275" s="59" t="s">
        <v>214</v>
      </c>
      <c r="P275" s="34" t="s">
        <v>301</v>
      </c>
      <c r="Q275" s="52" t="s">
        <v>215</v>
      </c>
      <c r="R275" t="str">
        <f t="shared" si="1"/>
        <v>MSOCB2 Trip</v>
      </c>
      <c r="S275" t="s">
        <v>216</v>
      </c>
      <c r="T275">
        <v>1</v>
      </c>
      <c r="U275" t="s">
        <v>217</v>
      </c>
      <c r="V275">
        <v>0</v>
      </c>
      <c r="W275" t="s">
        <v>218</v>
      </c>
      <c r="X275" t="s">
        <v>39</v>
      </c>
      <c r="Y275" t="s">
        <v>219</v>
      </c>
      <c r="Z275" s="39" t="s">
        <v>123</v>
      </c>
    </row>
    <row r="276" spans="1:26" ht="14.4" x14ac:dyDescent="0.3">
      <c r="A276" s="30" t="s">
        <v>9</v>
      </c>
      <c r="C276" s="54" t="s">
        <v>112</v>
      </c>
      <c r="D276" s="39" t="s">
        <v>478</v>
      </c>
      <c r="E276" t="s">
        <v>430</v>
      </c>
      <c r="F276" s="67" t="s">
        <v>302</v>
      </c>
      <c r="G276" s="42">
        <v>8</v>
      </c>
      <c r="H276" s="55">
        <v>3</v>
      </c>
      <c r="J276" s="55" t="s">
        <v>212</v>
      </c>
      <c r="L276" s="57" t="s">
        <v>213</v>
      </c>
      <c r="N276" s="34" t="s">
        <v>302</v>
      </c>
      <c r="O276" s="59" t="s">
        <v>214</v>
      </c>
      <c r="P276" s="34" t="s">
        <v>302</v>
      </c>
      <c r="Q276" s="52" t="s">
        <v>215</v>
      </c>
      <c r="R276" t="str">
        <f t="shared" si="1"/>
        <v>MSOCB1 Trip</v>
      </c>
      <c r="S276" t="s">
        <v>216</v>
      </c>
      <c r="T276">
        <v>1</v>
      </c>
      <c r="U276" t="s">
        <v>217</v>
      </c>
      <c r="V276">
        <v>0</v>
      </c>
      <c r="W276" t="s">
        <v>218</v>
      </c>
      <c r="X276" t="s">
        <v>39</v>
      </c>
      <c r="Y276" t="s">
        <v>219</v>
      </c>
      <c r="Z276" s="39" t="s">
        <v>123</v>
      </c>
    </row>
    <row r="277" spans="1:26" ht="14.4" x14ac:dyDescent="0.3">
      <c r="A277" s="30" t="s">
        <v>9</v>
      </c>
      <c r="C277" s="54" t="s">
        <v>112</v>
      </c>
      <c r="D277" s="39" t="s">
        <v>478</v>
      </c>
      <c r="E277" t="s">
        <v>431</v>
      </c>
      <c r="F277" s="67" t="s">
        <v>303</v>
      </c>
      <c r="G277" s="42">
        <v>8</v>
      </c>
      <c r="H277" s="55">
        <v>4</v>
      </c>
      <c r="J277" s="55" t="s">
        <v>212</v>
      </c>
      <c r="L277" s="57" t="s">
        <v>213</v>
      </c>
      <c r="N277" s="34" t="s">
        <v>303</v>
      </c>
      <c r="O277" s="59" t="s">
        <v>214</v>
      </c>
      <c r="P277" s="34" t="s">
        <v>303</v>
      </c>
      <c r="Q277" s="52" t="s">
        <v>215</v>
      </c>
      <c r="R277" t="str">
        <f t="shared" si="1"/>
        <v>HVAC1 Trip</v>
      </c>
      <c r="S277" t="s">
        <v>216</v>
      </c>
      <c r="T277">
        <v>1</v>
      </c>
      <c r="U277" t="s">
        <v>217</v>
      </c>
      <c r="V277">
        <v>0</v>
      </c>
      <c r="W277" t="s">
        <v>218</v>
      </c>
      <c r="X277" t="s">
        <v>39</v>
      </c>
      <c r="Y277" t="s">
        <v>219</v>
      </c>
      <c r="Z277" s="39" t="s">
        <v>123</v>
      </c>
    </row>
    <row r="278" spans="1:26" ht="14.4" x14ac:dyDescent="0.3">
      <c r="A278" s="30" t="s">
        <v>9</v>
      </c>
      <c r="C278" s="54" t="s">
        <v>112</v>
      </c>
      <c r="D278" s="39" t="s">
        <v>478</v>
      </c>
      <c r="E278" t="s">
        <v>432</v>
      </c>
      <c r="F278" s="67" t="s">
        <v>304</v>
      </c>
      <c r="G278" s="42">
        <v>8</v>
      </c>
      <c r="H278" s="39">
        <v>5</v>
      </c>
      <c r="J278" s="55" t="s">
        <v>212</v>
      </c>
      <c r="L278" s="57" t="s">
        <v>213</v>
      </c>
      <c r="N278" s="34" t="s">
        <v>304</v>
      </c>
      <c r="O278" s="59" t="s">
        <v>214</v>
      </c>
      <c r="P278" s="34" t="s">
        <v>304</v>
      </c>
      <c r="Q278" s="52" t="s">
        <v>215</v>
      </c>
      <c r="R278" t="str">
        <f t="shared" si="1"/>
        <v>SAC2CCB Trip</v>
      </c>
      <c r="S278" t="s">
        <v>216</v>
      </c>
      <c r="T278">
        <v>1</v>
      </c>
      <c r="U278" t="s">
        <v>217</v>
      </c>
      <c r="V278">
        <v>0</v>
      </c>
      <c r="W278" t="s">
        <v>218</v>
      </c>
      <c r="X278" t="s">
        <v>39</v>
      </c>
      <c r="Y278" t="s">
        <v>219</v>
      </c>
      <c r="Z278" s="39" t="s">
        <v>123</v>
      </c>
    </row>
    <row r="279" spans="1:26" ht="14.4" x14ac:dyDescent="0.3">
      <c r="A279" s="30" t="s">
        <v>9</v>
      </c>
      <c r="C279" s="54" t="s">
        <v>112</v>
      </c>
      <c r="D279" s="39" t="s">
        <v>478</v>
      </c>
      <c r="E279" t="s">
        <v>433</v>
      </c>
      <c r="F279" s="67" t="s">
        <v>305</v>
      </c>
      <c r="G279" s="42">
        <v>8</v>
      </c>
      <c r="H279" s="55">
        <v>6</v>
      </c>
      <c r="J279" s="55" t="s">
        <v>212</v>
      </c>
      <c r="L279" s="57" t="s">
        <v>213</v>
      </c>
      <c r="N279" s="34" t="s">
        <v>305</v>
      </c>
      <c r="O279" s="59" t="s">
        <v>214</v>
      </c>
      <c r="P279" s="34" t="s">
        <v>305</v>
      </c>
      <c r="Q279" s="52" t="s">
        <v>215</v>
      </c>
      <c r="R279" t="str">
        <f t="shared" si="1"/>
        <v>HVAC2 Trip</v>
      </c>
      <c r="S279" t="s">
        <v>216</v>
      </c>
      <c r="T279">
        <v>1</v>
      </c>
      <c r="U279" t="s">
        <v>217</v>
      </c>
      <c r="V279">
        <v>0</v>
      </c>
      <c r="W279" t="s">
        <v>218</v>
      </c>
      <c r="X279" t="s">
        <v>39</v>
      </c>
      <c r="Y279" t="s">
        <v>219</v>
      </c>
      <c r="Z279" s="39" t="s">
        <v>123</v>
      </c>
    </row>
    <row r="280" spans="1:26" ht="14.4" x14ac:dyDescent="0.3">
      <c r="A280" s="30" t="s">
        <v>9</v>
      </c>
      <c r="C280" s="54" t="s">
        <v>112</v>
      </c>
      <c r="D280" s="39" t="s">
        <v>478</v>
      </c>
      <c r="E280" t="s">
        <v>434</v>
      </c>
      <c r="F280" s="67" t="s">
        <v>306</v>
      </c>
      <c r="G280" s="42">
        <v>8</v>
      </c>
      <c r="H280" s="55">
        <v>7</v>
      </c>
      <c r="J280" s="55" t="s">
        <v>212</v>
      </c>
      <c r="L280" s="57" t="s">
        <v>213</v>
      </c>
      <c r="N280" s="34" t="s">
        <v>306</v>
      </c>
      <c r="O280" s="59" t="s">
        <v>214</v>
      </c>
      <c r="P280" s="34" t="s">
        <v>306</v>
      </c>
      <c r="Q280" s="52" t="s">
        <v>215</v>
      </c>
      <c r="R280" t="str">
        <f t="shared" si="1"/>
        <v>SAC1CCB Trip</v>
      </c>
      <c r="S280" t="s">
        <v>216</v>
      </c>
      <c r="T280">
        <v>1</v>
      </c>
      <c r="U280" t="s">
        <v>217</v>
      </c>
      <c r="V280">
        <v>0</v>
      </c>
      <c r="W280" t="s">
        <v>218</v>
      </c>
      <c r="X280" t="s">
        <v>39</v>
      </c>
      <c r="Y280" t="s">
        <v>219</v>
      </c>
      <c r="Z280" s="39" t="s">
        <v>123</v>
      </c>
    </row>
    <row r="281" spans="1:26" ht="14.4" x14ac:dyDescent="0.3">
      <c r="A281" s="30" t="s">
        <v>9</v>
      </c>
      <c r="C281" s="54" t="s">
        <v>112</v>
      </c>
      <c r="D281" s="39" t="s">
        <v>478</v>
      </c>
      <c r="E281" t="s">
        <v>435</v>
      </c>
      <c r="F281" s="67" t="s">
        <v>307</v>
      </c>
      <c r="G281" s="42">
        <v>8</v>
      </c>
      <c r="H281" s="39">
        <v>8</v>
      </c>
      <c r="J281" s="55" t="s">
        <v>212</v>
      </c>
      <c r="L281" s="57" t="s">
        <v>213</v>
      </c>
      <c r="N281" s="34" t="s">
        <v>307</v>
      </c>
      <c r="O281" s="59" t="s">
        <v>214</v>
      </c>
      <c r="P281" s="34" t="s">
        <v>307</v>
      </c>
      <c r="Q281" s="52" t="s">
        <v>215</v>
      </c>
      <c r="R281" t="str">
        <f t="shared" si="1"/>
        <v>CMCB Trip</v>
      </c>
      <c r="S281" t="s">
        <v>216</v>
      </c>
      <c r="T281">
        <v>1</v>
      </c>
      <c r="U281" t="s">
        <v>217</v>
      </c>
      <c r="V281">
        <v>0</v>
      </c>
      <c r="W281" t="s">
        <v>218</v>
      </c>
      <c r="X281" t="s">
        <v>39</v>
      </c>
      <c r="Y281" t="s">
        <v>219</v>
      </c>
      <c r="Z281" s="39" t="s">
        <v>123</v>
      </c>
    </row>
    <row r="282" spans="1:26" ht="14.4" x14ac:dyDescent="0.3">
      <c r="A282" s="30" t="s">
        <v>9</v>
      </c>
      <c r="C282" s="54" t="s">
        <v>112</v>
      </c>
      <c r="D282" s="39" t="s">
        <v>478</v>
      </c>
      <c r="E282" t="s">
        <v>436</v>
      </c>
      <c r="F282" s="67" t="s">
        <v>308</v>
      </c>
      <c r="G282" s="42">
        <v>8</v>
      </c>
      <c r="H282" s="55">
        <v>9</v>
      </c>
      <c r="J282" s="55" t="s">
        <v>212</v>
      </c>
      <c r="L282" s="57" t="s">
        <v>213</v>
      </c>
      <c r="N282" s="34" t="s">
        <v>308</v>
      </c>
      <c r="O282" s="59" t="s">
        <v>214</v>
      </c>
      <c r="P282" s="34" t="s">
        <v>308</v>
      </c>
      <c r="Q282" s="52" t="s">
        <v>215</v>
      </c>
      <c r="R282" t="str">
        <f t="shared" si="1"/>
        <v>AC2CB Trip</v>
      </c>
      <c r="S282" t="s">
        <v>216</v>
      </c>
      <c r="T282">
        <v>1</v>
      </c>
      <c r="U282" t="s">
        <v>217</v>
      </c>
      <c r="V282">
        <v>0</v>
      </c>
      <c r="W282" t="s">
        <v>218</v>
      </c>
      <c r="X282" t="s">
        <v>39</v>
      </c>
      <c r="Y282" t="s">
        <v>219</v>
      </c>
      <c r="Z282" s="39" t="s">
        <v>123</v>
      </c>
    </row>
    <row r="283" spans="1:26" ht="14.4" x14ac:dyDescent="0.3">
      <c r="A283" s="30" t="s">
        <v>9</v>
      </c>
      <c r="C283" s="54" t="s">
        <v>112</v>
      </c>
      <c r="D283" s="39" t="s">
        <v>478</v>
      </c>
      <c r="E283" t="s">
        <v>437</v>
      </c>
      <c r="F283" s="67" t="s">
        <v>309</v>
      </c>
      <c r="G283" s="42">
        <v>9</v>
      </c>
      <c r="H283" s="55">
        <v>0</v>
      </c>
      <c r="J283" s="55" t="s">
        <v>212</v>
      </c>
      <c r="L283" s="57" t="s">
        <v>213</v>
      </c>
      <c r="N283" s="34" t="s">
        <v>309</v>
      </c>
      <c r="O283" s="59" t="s">
        <v>214</v>
      </c>
      <c r="P283" s="34" t="s">
        <v>309</v>
      </c>
      <c r="Q283" s="52" t="s">
        <v>215</v>
      </c>
      <c r="R283" t="str">
        <f t="shared" si="1"/>
        <v>AC1CB Trip</v>
      </c>
      <c r="S283" t="s">
        <v>216</v>
      </c>
      <c r="T283">
        <v>1</v>
      </c>
      <c r="U283" t="s">
        <v>217</v>
      </c>
      <c r="V283">
        <v>0</v>
      </c>
      <c r="W283" t="s">
        <v>218</v>
      </c>
      <c r="X283" t="s">
        <v>39</v>
      </c>
      <c r="Y283" t="s">
        <v>219</v>
      </c>
      <c r="Z283" s="39" t="s">
        <v>123</v>
      </c>
    </row>
    <row r="284" spans="1:26" ht="14.4" x14ac:dyDescent="0.3">
      <c r="A284" s="30" t="s">
        <v>9</v>
      </c>
      <c r="C284" s="54" t="s">
        <v>112</v>
      </c>
      <c r="D284" s="39" t="s">
        <v>478</v>
      </c>
      <c r="E284" t="s">
        <v>438</v>
      </c>
      <c r="F284" s="67" t="s">
        <v>310</v>
      </c>
      <c r="G284" s="42">
        <v>9</v>
      </c>
      <c r="H284" s="55">
        <v>1</v>
      </c>
      <c r="J284" s="55" t="s">
        <v>212</v>
      </c>
      <c r="L284" s="57" t="s">
        <v>213</v>
      </c>
      <c r="N284" s="34" t="s">
        <v>310</v>
      </c>
      <c r="O284" s="59" t="s">
        <v>214</v>
      </c>
      <c r="P284" s="34" t="s">
        <v>310</v>
      </c>
      <c r="Q284" s="52" t="s">
        <v>215</v>
      </c>
      <c r="R284" t="str">
        <f t="shared" si="1"/>
        <v>FDSCB Trip</v>
      </c>
      <c r="S284" t="s">
        <v>216</v>
      </c>
      <c r="T284">
        <v>1</v>
      </c>
      <c r="U284" t="s">
        <v>217</v>
      </c>
      <c r="V284">
        <v>0</v>
      </c>
      <c r="W284" t="s">
        <v>218</v>
      </c>
      <c r="X284" t="s">
        <v>39</v>
      </c>
      <c r="Y284" t="s">
        <v>219</v>
      </c>
      <c r="Z284" s="39" t="s">
        <v>123</v>
      </c>
    </row>
    <row r="285" spans="1:26" x14ac:dyDescent="0.25">
      <c r="G285" s="55"/>
    </row>
    <row r="286" spans="1:26" x14ac:dyDescent="0.25">
      <c r="A286" s="31"/>
      <c r="B286" s="31"/>
      <c r="C286" s="32" t="s">
        <v>112</v>
      </c>
      <c r="D286" s="18"/>
      <c r="E286" s="33" t="s">
        <v>476</v>
      </c>
      <c r="F286" s="32"/>
      <c r="G286" s="20">
        <v>1</v>
      </c>
      <c r="H286" s="20">
        <v>0</v>
      </c>
      <c r="I286" s="26"/>
      <c r="J286" s="26" t="s">
        <v>38</v>
      </c>
      <c r="K286" s="24"/>
      <c r="L286" s="21"/>
      <c r="M286" s="19"/>
      <c r="N286" s="23" t="s">
        <v>477</v>
      </c>
      <c r="O286" s="66" t="s">
        <v>32</v>
      </c>
      <c r="P286" s="33" t="s">
        <v>67</v>
      </c>
      <c r="Q286" s="33" t="s">
        <v>49</v>
      </c>
      <c r="R286" s="33" t="s">
        <v>172</v>
      </c>
      <c r="S286" s="33"/>
      <c r="T286" s="33"/>
      <c r="U286" s="33"/>
      <c r="V286" s="33"/>
      <c r="W286" s="23"/>
      <c r="X286" s="23"/>
      <c r="Y286" s="23"/>
      <c r="Z286" s="40"/>
    </row>
    <row r="287" spans="1:26" ht="14.4" x14ac:dyDescent="0.3">
      <c r="A287" s="30"/>
      <c r="C287" s="54" t="s">
        <v>112</v>
      </c>
      <c r="D287" s="39" t="s">
        <v>476</v>
      </c>
      <c r="E287" t="s">
        <v>439</v>
      </c>
      <c r="F287" s="67" t="s">
        <v>311</v>
      </c>
      <c r="G287" s="42">
        <v>0</v>
      </c>
      <c r="H287" s="55">
        <v>0</v>
      </c>
      <c r="J287" s="55" t="s">
        <v>212</v>
      </c>
      <c r="L287" s="57" t="s">
        <v>213</v>
      </c>
      <c r="N287" s="34" t="s">
        <v>311</v>
      </c>
      <c r="O287" s="59" t="s">
        <v>214</v>
      </c>
      <c r="P287" s="34" t="s">
        <v>311</v>
      </c>
      <c r="Q287" s="52" t="s">
        <v>215</v>
      </c>
      <c r="R287" t="str">
        <f t="shared" ref="R287:R319" si="2">P287&amp;" Trip"</f>
        <v>BCBCB Trip</v>
      </c>
      <c r="S287" t="s">
        <v>216</v>
      </c>
      <c r="T287">
        <v>1</v>
      </c>
      <c r="U287" t="s">
        <v>217</v>
      </c>
      <c r="V287">
        <v>0</v>
      </c>
      <c r="W287" t="s">
        <v>218</v>
      </c>
      <c r="X287" t="s">
        <v>39</v>
      </c>
      <c r="Y287" t="s">
        <v>219</v>
      </c>
      <c r="Z287" s="39" t="s">
        <v>123</v>
      </c>
    </row>
    <row r="288" spans="1:26" ht="14.4" x14ac:dyDescent="0.3">
      <c r="A288" s="30"/>
      <c r="C288" s="54" t="s">
        <v>112</v>
      </c>
      <c r="D288" s="39" t="s">
        <v>476</v>
      </c>
      <c r="E288" t="s">
        <v>440</v>
      </c>
      <c r="F288" s="67" t="s">
        <v>312</v>
      </c>
      <c r="G288" s="42">
        <v>0</v>
      </c>
      <c r="H288" s="39">
        <v>1</v>
      </c>
      <c r="J288" s="55" t="s">
        <v>212</v>
      </c>
      <c r="L288" s="57" t="s">
        <v>213</v>
      </c>
      <c r="N288" s="34" t="s">
        <v>312</v>
      </c>
      <c r="O288" s="59" t="s">
        <v>214</v>
      </c>
      <c r="P288" s="34" t="s">
        <v>312</v>
      </c>
      <c r="Q288" s="52" t="s">
        <v>215</v>
      </c>
      <c r="R288" t="str">
        <f t="shared" si="2"/>
        <v>ERVRCB1 Trip</v>
      </c>
      <c r="S288" t="s">
        <v>216</v>
      </c>
      <c r="T288">
        <v>1</v>
      </c>
      <c r="U288" t="s">
        <v>217</v>
      </c>
      <c r="V288">
        <v>0</v>
      </c>
      <c r="W288" t="s">
        <v>218</v>
      </c>
      <c r="X288" t="s">
        <v>39</v>
      </c>
      <c r="Y288" t="s">
        <v>219</v>
      </c>
      <c r="Z288" s="39" t="s">
        <v>123</v>
      </c>
    </row>
    <row r="289" spans="1:26" ht="14.4" x14ac:dyDescent="0.3">
      <c r="A289" s="30"/>
      <c r="C289" s="54" t="s">
        <v>112</v>
      </c>
      <c r="D289" s="39" t="s">
        <v>476</v>
      </c>
      <c r="E289" t="s">
        <v>441</v>
      </c>
      <c r="F289" s="67" t="s">
        <v>313</v>
      </c>
      <c r="G289" s="42">
        <v>0</v>
      </c>
      <c r="H289" s="55">
        <v>2</v>
      </c>
      <c r="J289" s="55" t="s">
        <v>212</v>
      </c>
      <c r="L289" s="57" t="s">
        <v>213</v>
      </c>
      <c r="N289" s="34" t="s">
        <v>313</v>
      </c>
      <c r="O289" s="59" t="s">
        <v>214</v>
      </c>
      <c r="P289" s="34" t="s">
        <v>313</v>
      </c>
      <c r="Q289" s="52" t="s">
        <v>215</v>
      </c>
      <c r="R289" t="str">
        <f t="shared" si="2"/>
        <v>ERVRCB2 Trip</v>
      </c>
      <c r="S289" t="s">
        <v>216</v>
      </c>
      <c r="T289">
        <v>1</v>
      </c>
      <c r="U289" t="s">
        <v>217</v>
      </c>
      <c r="V289">
        <v>0</v>
      </c>
      <c r="W289" t="s">
        <v>218</v>
      </c>
      <c r="X289" t="s">
        <v>39</v>
      </c>
      <c r="Y289" t="s">
        <v>219</v>
      </c>
      <c r="Z289" s="39" t="s">
        <v>123</v>
      </c>
    </row>
    <row r="290" spans="1:26" ht="14.4" x14ac:dyDescent="0.3">
      <c r="A290" s="30"/>
      <c r="C290" s="54" t="s">
        <v>112</v>
      </c>
      <c r="D290" s="39" t="s">
        <v>476</v>
      </c>
      <c r="E290" t="s">
        <v>442</v>
      </c>
      <c r="F290" s="67" t="s">
        <v>314</v>
      </c>
      <c r="G290" s="42">
        <v>0</v>
      </c>
      <c r="H290" s="55">
        <v>3</v>
      </c>
      <c r="J290" s="55" t="s">
        <v>212</v>
      </c>
      <c r="L290" s="57" t="s">
        <v>213</v>
      </c>
      <c r="N290" s="34" t="s">
        <v>314</v>
      </c>
      <c r="O290" s="59" t="s">
        <v>214</v>
      </c>
      <c r="P290" s="34" t="s">
        <v>314</v>
      </c>
      <c r="Q290" s="52" t="s">
        <v>215</v>
      </c>
      <c r="R290" t="str">
        <f t="shared" si="2"/>
        <v>ESKCB Trip</v>
      </c>
      <c r="S290" t="s">
        <v>216</v>
      </c>
      <c r="T290">
        <v>1</v>
      </c>
      <c r="U290" t="s">
        <v>217</v>
      </c>
      <c r="V290">
        <v>0</v>
      </c>
      <c r="W290" t="s">
        <v>218</v>
      </c>
      <c r="X290" t="s">
        <v>39</v>
      </c>
      <c r="Y290" t="s">
        <v>219</v>
      </c>
      <c r="Z290" s="39" t="s">
        <v>123</v>
      </c>
    </row>
    <row r="291" spans="1:26" ht="14.4" x14ac:dyDescent="0.3">
      <c r="A291" s="30"/>
      <c r="C291" s="54" t="s">
        <v>112</v>
      </c>
      <c r="D291" s="39" t="s">
        <v>476</v>
      </c>
      <c r="E291" t="s">
        <v>443</v>
      </c>
      <c r="F291" s="67" t="s">
        <v>315</v>
      </c>
      <c r="G291" s="42">
        <v>0</v>
      </c>
      <c r="H291" s="55">
        <v>4</v>
      </c>
      <c r="J291" s="55" t="s">
        <v>212</v>
      </c>
      <c r="L291" s="57" t="s">
        <v>213</v>
      </c>
      <c r="N291" s="34" t="s">
        <v>315</v>
      </c>
      <c r="O291" s="59" t="s">
        <v>214</v>
      </c>
      <c r="P291" s="34" t="s">
        <v>315</v>
      </c>
      <c r="Q291" s="52" t="s">
        <v>215</v>
      </c>
      <c r="R291" t="str">
        <f t="shared" si="2"/>
        <v>HMCB Trip</v>
      </c>
      <c r="S291" t="s">
        <v>216</v>
      </c>
      <c r="T291">
        <v>1</v>
      </c>
      <c r="U291" t="s">
        <v>217</v>
      </c>
      <c r="V291">
        <v>0</v>
      </c>
      <c r="W291" t="s">
        <v>218</v>
      </c>
      <c r="X291" t="s">
        <v>39</v>
      </c>
      <c r="Y291" t="s">
        <v>219</v>
      </c>
      <c r="Z291" s="39" t="s">
        <v>123</v>
      </c>
    </row>
    <row r="292" spans="1:26" ht="14.4" x14ac:dyDescent="0.3">
      <c r="A292" s="30"/>
      <c r="C292" s="54" t="s">
        <v>112</v>
      </c>
      <c r="D292" s="39" t="s">
        <v>476</v>
      </c>
      <c r="E292" t="s">
        <v>444</v>
      </c>
      <c r="F292" s="67" t="s">
        <v>316</v>
      </c>
      <c r="G292" s="42">
        <v>0</v>
      </c>
      <c r="H292" s="39">
        <v>5</v>
      </c>
      <c r="J292" s="55" t="s">
        <v>212</v>
      </c>
      <c r="L292" s="57" t="s">
        <v>213</v>
      </c>
      <c r="N292" s="34" t="s">
        <v>316</v>
      </c>
      <c r="O292" s="59" t="s">
        <v>214</v>
      </c>
      <c r="P292" s="34" t="s">
        <v>316</v>
      </c>
      <c r="Q292" s="52" t="s">
        <v>215</v>
      </c>
      <c r="R292" t="str">
        <f t="shared" si="2"/>
        <v>SP1CB Trip</v>
      </c>
      <c r="S292" t="s">
        <v>216</v>
      </c>
      <c r="T292">
        <v>1</v>
      </c>
      <c r="U292" t="s">
        <v>217</v>
      </c>
      <c r="V292">
        <v>0</v>
      </c>
      <c r="W292" t="s">
        <v>218</v>
      </c>
      <c r="X292" t="s">
        <v>39</v>
      </c>
      <c r="Y292" t="s">
        <v>219</v>
      </c>
      <c r="Z292" s="39" t="s">
        <v>123</v>
      </c>
    </row>
    <row r="293" spans="1:26" ht="14.4" x14ac:dyDescent="0.3">
      <c r="A293" s="30"/>
      <c r="C293" s="54" t="s">
        <v>112</v>
      </c>
      <c r="D293" s="39" t="s">
        <v>476</v>
      </c>
      <c r="E293" t="s">
        <v>445</v>
      </c>
      <c r="F293" s="67" t="s">
        <v>317</v>
      </c>
      <c r="G293" s="42">
        <v>0</v>
      </c>
      <c r="H293" s="55">
        <v>6</v>
      </c>
      <c r="J293" s="55" t="s">
        <v>212</v>
      </c>
      <c r="L293" s="57" t="s">
        <v>213</v>
      </c>
      <c r="N293" s="34" t="s">
        <v>317</v>
      </c>
      <c r="O293" s="59" t="s">
        <v>214</v>
      </c>
      <c r="P293" s="34" t="s">
        <v>317</v>
      </c>
      <c r="Q293" s="52" t="s">
        <v>215</v>
      </c>
      <c r="R293" t="str">
        <f t="shared" si="2"/>
        <v>SP2CB Trip</v>
      </c>
      <c r="S293" t="s">
        <v>216</v>
      </c>
      <c r="T293">
        <v>1</v>
      </c>
      <c r="U293" t="s">
        <v>217</v>
      </c>
      <c r="V293">
        <v>0</v>
      </c>
      <c r="W293" t="s">
        <v>218</v>
      </c>
      <c r="X293" t="s">
        <v>39</v>
      </c>
      <c r="Y293" t="s">
        <v>219</v>
      </c>
      <c r="Z293" s="39" t="s">
        <v>123</v>
      </c>
    </row>
    <row r="294" spans="1:26" ht="14.4" x14ac:dyDescent="0.3">
      <c r="A294" s="30"/>
      <c r="C294" s="54" t="s">
        <v>112</v>
      </c>
      <c r="D294" s="39" t="s">
        <v>476</v>
      </c>
      <c r="E294" t="s">
        <v>446</v>
      </c>
      <c r="F294" s="67" t="s">
        <v>318</v>
      </c>
      <c r="G294" s="42">
        <v>0</v>
      </c>
      <c r="H294" s="55">
        <v>7</v>
      </c>
      <c r="J294" s="55" t="s">
        <v>212</v>
      </c>
      <c r="L294" s="57" t="s">
        <v>213</v>
      </c>
      <c r="N294" s="34" t="s">
        <v>318</v>
      </c>
      <c r="O294" s="59" t="s">
        <v>214</v>
      </c>
      <c r="P294" s="34" t="s">
        <v>318</v>
      </c>
      <c r="Q294" s="52" t="s">
        <v>215</v>
      </c>
      <c r="R294" t="str">
        <f t="shared" si="2"/>
        <v>SP3CB Trip</v>
      </c>
      <c r="S294" t="s">
        <v>216</v>
      </c>
      <c r="T294">
        <v>1</v>
      </c>
      <c r="U294" t="s">
        <v>217</v>
      </c>
      <c r="V294">
        <v>0</v>
      </c>
      <c r="W294" t="s">
        <v>218</v>
      </c>
      <c r="X294" t="s">
        <v>39</v>
      </c>
      <c r="Y294" t="s">
        <v>219</v>
      </c>
      <c r="Z294" s="39" t="s">
        <v>123</v>
      </c>
    </row>
    <row r="295" spans="1:26" ht="14.4" x14ac:dyDescent="0.3">
      <c r="A295" s="30"/>
      <c r="C295" s="54" t="s">
        <v>112</v>
      </c>
      <c r="D295" s="39" t="s">
        <v>476</v>
      </c>
      <c r="E295" t="s">
        <v>447</v>
      </c>
      <c r="F295" s="67" t="s">
        <v>319</v>
      </c>
      <c r="G295" s="42">
        <v>0</v>
      </c>
      <c r="H295" s="55">
        <v>8</v>
      </c>
      <c r="J295" s="55" t="s">
        <v>212</v>
      </c>
      <c r="L295" s="57" t="s">
        <v>213</v>
      </c>
      <c r="N295" s="34" t="s">
        <v>319</v>
      </c>
      <c r="O295" s="59" t="s">
        <v>214</v>
      </c>
      <c r="P295" s="34" t="s">
        <v>319</v>
      </c>
      <c r="Q295" s="52" t="s">
        <v>215</v>
      </c>
      <c r="R295" t="str">
        <f t="shared" si="2"/>
        <v>SP4CB Trip</v>
      </c>
      <c r="S295" t="s">
        <v>216</v>
      </c>
      <c r="T295">
        <v>1</v>
      </c>
      <c r="U295" t="s">
        <v>217</v>
      </c>
      <c r="V295">
        <v>0</v>
      </c>
      <c r="W295" t="s">
        <v>218</v>
      </c>
      <c r="X295" t="s">
        <v>39</v>
      </c>
      <c r="Y295" t="s">
        <v>219</v>
      </c>
      <c r="Z295" s="39" t="s">
        <v>123</v>
      </c>
    </row>
    <row r="296" spans="1:26" ht="14.4" x14ac:dyDescent="0.3">
      <c r="A296" s="30"/>
      <c r="C296" s="54" t="s">
        <v>112</v>
      </c>
      <c r="D296" s="39" t="s">
        <v>476</v>
      </c>
      <c r="E296" t="s">
        <v>448</v>
      </c>
      <c r="F296" s="67" t="s">
        <v>320</v>
      </c>
      <c r="G296" s="42">
        <v>0</v>
      </c>
      <c r="H296" s="39">
        <v>9</v>
      </c>
      <c r="J296" s="55" t="s">
        <v>212</v>
      </c>
      <c r="L296" s="57" t="s">
        <v>213</v>
      </c>
      <c r="N296" s="34" t="s">
        <v>320</v>
      </c>
      <c r="O296" s="59" t="s">
        <v>214</v>
      </c>
      <c r="P296" s="34" t="s">
        <v>320</v>
      </c>
      <c r="Q296" s="52" t="s">
        <v>215</v>
      </c>
      <c r="R296" t="str">
        <f t="shared" si="2"/>
        <v>SP5CB Trip</v>
      </c>
      <c r="S296" t="s">
        <v>216</v>
      </c>
      <c r="T296">
        <v>1</v>
      </c>
      <c r="U296" t="s">
        <v>217</v>
      </c>
      <c r="V296">
        <v>0</v>
      </c>
      <c r="W296" t="s">
        <v>218</v>
      </c>
      <c r="X296" t="s">
        <v>39</v>
      </c>
      <c r="Y296" t="s">
        <v>219</v>
      </c>
      <c r="Z296" s="39" t="s">
        <v>123</v>
      </c>
    </row>
    <row r="297" spans="1:26" ht="14.4" x14ac:dyDescent="0.3">
      <c r="A297" s="30"/>
      <c r="C297" s="54" t="s">
        <v>112</v>
      </c>
      <c r="D297" s="39" t="s">
        <v>476</v>
      </c>
      <c r="E297" t="s">
        <v>449</v>
      </c>
      <c r="F297" s="67" t="s">
        <v>321</v>
      </c>
      <c r="G297" s="42">
        <v>1</v>
      </c>
      <c r="H297" s="55">
        <v>0</v>
      </c>
      <c r="J297" s="55" t="s">
        <v>212</v>
      </c>
      <c r="L297" s="57" t="s">
        <v>213</v>
      </c>
      <c r="N297" s="34" t="s">
        <v>321</v>
      </c>
      <c r="O297" s="59" t="s">
        <v>214</v>
      </c>
      <c r="P297" s="34" t="s">
        <v>321</v>
      </c>
      <c r="Q297" s="52" t="s">
        <v>215</v>
      </c>
      <c r="R297" t="str">
        <f t="shared" si="2"/>
        <v>SPCB6 Trip</v>
      </c>
      <c r="S297" t="s">
        <v>216</v>
      </c>
      <c r="T297">
        <v>1</v>
      </c>
      <c r="U297" t="s">
        <v>217</v>
      </c>
      <c r="V297">
        <v>0</v>
      </c>
      <c r="W297" t="s">
        <v>218</v>
      </c>
      <c r="X297" t="s">
        <v>39</v>
      </c>
      <c r="Y297" t="s">
        <v>219</v>
      </c>
      <c r="Z297" s="39" t="s">
        <v>123</v>
      </c>
    </row>
    <row r="298" spans="1:26" ht="14.4" x14ac:dyDescent="0.3">
      <c r="A298" s="30"/>
      <c r="C298" s="54" t="s">
        <v>112</v>
      </c>
      <c r="D298" s="39" t="s">
        <v>476</v>
      </c>
      <c r="E298" t="s">
        <v>450</v>
      </c>
      <c r="F298" s="67" t="s">
        <v>322</v>
      </c>
      <c r="G298" s="42">
        <v>1</v>
      </c>
      <c r="H298" s="39">
        <v>1</v>
      </c>
      <c r="J298" s="55" t="s">
        <v>212</v>
      </c>
      <c r="L298" s="57" t="s">
        <v>213</v>
      </c>
      <c r="N298" s="34" t="s">
        <v>322</v>
      </c>
      <c r="O298" s="59" t="s">
        <v>214</v>
      </c>
      <c r="P298" s="34" t="s">
        <v>322</v>
      </c>
      <c r="Q298" s="52" t="s">
        <v>215</v>
      </c>
      <c r="R298" t="str">
        <f t="shared" si="2"/>
        <v>SPCB7 Trip</v>
      </c>
      <c r="S298" t="s">
        <v>216</v>
      </c>
      <c r="T298">
        <v>1</v>
      </c>
      <c r="U298" t="s">
        <v>217</v>
      </c>
      <c r="V298">
        <v>0</v>
      </c>
      <c r="W298" t="s">
        <v>218</v>
      </c>
      <c r="X298" t="s">
        <v>39</v>
      </c>
      <c r="Y298" t="s">
        <v>219</v>
      </c>
      <c r="Z298" s="39" t="s">
        <v>123</v>
      </c>
    </row>
    <row r="299" spans="1:26" ht="14.4" x14ac:dyDescent="0.3">
      <c r="A299" s="30"/>
      <c r="C299" s="54" t="s">
        <v>112</v>
      </c>
      <c r="D299" s="39" t="s">
        <v>476</v>
      </c>
      <c r="E299" t="s">
        <v>451</v>
      </c>
      <c r="F299" s="67" t="s">
        <v>323</v>
      </c>
      <c r="G299" s="42">
        <v>1</v>
      </c>
      <c r="H299" s="55">
        <v>2</v>
      </c>
      <c r="J299" s="55" t="s">
        <v>212</v>
      </c>
      <c r="L299" s="57" t="s">
        <v>213</v>
      </c>
      <c r="N299" s="34" t="s">
        <v>323</v>
      </c>
      <c r="O299" s="59" t="s">
        <v>214</v>
      </c>
      <c r="P299" s="34" t="s">
        <v>323</v>
      </c>
      <c r="Q299" s="52" t="s">
        <v>215</v>
      </c>
      <c r="R299" t="str">
        <f t="shared" si="2"/>
        <v>SPCB8 Trip</v>
      </c>
      <c r="S299" t="s">
        <v>216</v>
      </c>
      <c r="T299">
        <v>1</v>
      </c>
      <c r="U299" t="s">
        <v>217</v>
      </c>
      <c r="V299">
        <v>0</v>
      </c>
      <c r="W299" t="s">
        <v>218</v>
      </c>
      <c r="X299" t="s">
        <v>39</v>
      </c>
      <c r="Y299" t="s">
        <v>219</v>
      </c>
      <c r="Z299" s="39" t="s">
        <v>123</v>
      </c>
    </row>
    <row r="300" spans="1:26" ht="14.4" x14ac:dyDescent="0.3">
      <c r="A300" s="30"/>
      <c r="C300" s="54" t="s">
        <v>112</v>
      </c>
      <c r="D300" s="39" t="s">
        <v>476</v>
      </c>
      <c r="E300" t="s">
        <v>452</v>
      </c>
      <c r="F300" s="67" t="s">
        <v>324</v>
      </c>
      <c r="G300" s="42">
        <v>1</v>
      </c>
      <c r="H300" s="55">
        <v>3</v>
      </c>
      <c r="J300" s="55" t="s">
        <v>212</v>
      </c>
      <c r="L300" s="57" t="s">
        <v>213</v>
      </c>
      <c r="N300" s="34" t="s">
        <v>324</v>
      </c>
      <c r="O300" s="59" t="s">
        <v>214</v>
      </c>
      <c r="P300" s="34" t="s">
        <v>324</v>
      </c>
      <c r="Q300" s="52" t="s">
        <v>215</v>
      </c>
      <c r="R300" t="str">
        <f t="shared" si="2"/>
        <v>RPTCB Trip</v>
      </c>
      <c r="S300" t="s">
        <v>216</v>
      </c>
      <c r="T300">
        <v>1</v>
      </c>
      <c r="U300" t="s">
        <v>217</v>
      </c>
      <c r="V300">
        <v>0</v>
      </c>
      <c r="W300" t="s">
        <v>218</v>
      </c>
      <c r="X300" t="s">
        <v>39</v>
      </c>
      <c r="Y300" t="s">
        <v>219</v>
      </c>
      <c r="Z300" s="39" t="s">
        <v>123</v>
      </c>
    </row>
    <row r="301" spans="1:26" ht="14.4" x14ac:dyDescent="0.3">
      <c r="A301" s="30"/>
      <c r="C301" s="54" t="s">
        <v>112</v>
      </c>
      <c r="D301" s="39" t="s">
        <v>476</v>
      </c>
      <c r="E301" t="s">
        <v>453</v>
      </c>
      <c r="F301" s="67" t="s">
        <v>325</v>
      </c>
      <c r="G301" s="42">
        <v>1</v>
      </c>
      <c r="H301" s="55">
        <v>4</v>
      </c>
      <c r="J301" s="55" t="s">
        <v>212</v>
      </c>
      <c r="L301" s="57" t="s">
        <v>213</v>
      </c>
      <c r="N301" s="34" t="s">
        <v>325</v>
      </c>
      <c r="O301" s="59" t="s">
        <v>214</v>
      </c>
      <c r="P301" s="34" t="s">
        <v>325</v>
      </c>
      <c r="Q301" s="52" t="s">
        <v>215</v>
      </c>
      <c r="R301" t="str">
        <f t="shared" si="2"/>
        <v>TERCB1 Trip</v>
      </c>
      <c r="S301" t="s">
        <v>216</v>
      </c>
      <c r="T301">
        <v>1</v>
      </c>
      <c r="U301" t="s">
        <v>217</v>
      </c>
      <c r="V301">
        <v>0</v>
      </c>
      <c r="W301" t="s">
        <v>218</v>
      </c>
      <c r="X301" t="s">
        <v>39</v>
      </c>
      <c r="Y301" t="s">
        <v>219</v>
      </c>
      <c r="Z301" s="39" t="s">
        <v>123</v>
      </c>
    </row>
    <row r="302" spans="1:26" ht="14.4" x14ac:dyDescent="0.3">
      <c r="A302" s="30"/>
      <c r="C302" s="54" t="s">
        <v>112</v>
      </c>
      <c r="D302" s="39" t="s">
        <v>476</v>
      </c>
      <c r="E302" t="s">
        <v>454</v>
      </c>
      <c r="F302" s="67" t="s">
        <v>326</v>
      </c>
      <c r="G302" s="42">
        <v>1</v>
      </c>
      <c r="H302" s="39">
        <v>5</v>
      </c>
      <c r="J302" s="55" t="s">
        <v>212</v>
      </c>
      <c r="L302" s="57" t="s">
        <v>213</v>
      </c>
      <c r="N302" s="34" t="s">
        <v>326</v>
      </c>
      <c r="O302" s="59" t="s">
        <v>214</v>
      </c>
      <c r="P302" s="34" t="s">
        <v>326</v>
      </c>
      <c r="Q302" s="52" t="s">
        <v>215</v>
      </c>
      <c r="R302" t="str">
        <f t="shared" si="2"/>
        <v>TERCB2 Trip</v>
      </c>
      <c r="S302" t="s">
        <v>216</v>
      </c>
      <c r="T302">
        <v>1</v>
      </c>
      <c r="U302" t="s">
        <v>217</v>
      </c>
      <c r="V302">
        <v>0</v>
      </c>
      <c r="W302" t="s">
        <v>218</v>
      </c>
      <c r="X302" t="s">
        <v>39</v>
      </c>
      <c r="Y302" t="s">
        <v>219</v>
      </c>
      <c r="Z302" s="39" t="s">
        <v>123</v>
      </c>
    </row>
    <row r="303" spans="1:26" ht="14.4" x14ac:dyDescent="0.3">
      <c r="A303" s="30"/>
      <c r="C303" s="54" t="s">
        <v>112</v>
      </c>
      <c r="D303" s="39" t="s">
        <v>476</v>
      </c>
      <c r="E303" t="s">
        <v>457</v>
      </c>
      <c r="F303" s="67" t="s">
        <v>329</v>
      </c>
      <c r="G303" s="42">
        <v>1</v>
      </c>
      <c r="H303" s="55">
        <v>6</v>
      </c>
      <c r="J303" s="55" t="s">
        <v>212</v>
      </c>
      <c r="L303" s="57" t="s">
        <v>213</v>
      </c>
      <c r="N303" s="34" t="s">
        <v>329</v>
      </c>
      <c r="O303" s="59" t="s">
        <v>214</v>
      </c>
      <c r="P303" s="34" t="s">
        <v>329</v>
      </c>
      <c r="Q303" s="52" t="s">
        <v>215</v>
      </c>
      <c r="R303" t="str">
        <f t="shared" si="2"/>
        <v>APSCB Trip</v>
      </c>
      <c r="S303" t="s">
        <v>216</v>
      </c>
      <c r="T303">
        <v>1</v>
      </c>
      <c r="U303" t="s">
        <v>217</v>
      </c>
      <c r="V303">
        <v>0</v>
      </c>
      <c r="W303" t="s">
        <v>218</v>
      </c>
      <c r="X303" t="s">
        <v>39</v>
      </c>
      <c r="Y303" t="s">
        <v>219</v>
      </c>
      <c r="Z303" s="39" t="s">
        <v>123</v>
      </c>
    </row>
    <row r="304" spans="1:26" ht="14.4" x14ac:dyDescent="0.3">
      <c r="A304" s="30"/>
      <c r="C304" s="54" t="s">
        <v>112</v>
      </c>
      <c r="D304" s="39" t="s">
        <v>476</v>
      </c>
      <c r="E304" t="s">
        <v>458</v>
      </c>
      <c r="F304" s="67" t="s">
        <v>330</v>
      </c>
      <c r="G304" s="42">
        <v>1</v>
      </c>
      <c r="H304" s="55">
        <v>7</v>
      </c>
      <c r="J304" s="55" t="s">
        <v>212</v>
      </c>
      <c r="L304" s="57" t="s">
        <v>213</v>
      </c>
      <c r="N304" s="34" t="s">
        <v>330</v>
      </c>
      <c r="O304" s="59" t="s">
        <v>214</v>
      </c>
      <c r="P304" s="34" t="s">
        <v>330</v>
      </c>
      <c r="Q304" s="52" t="s">
        <v>215</v>
      </c>
      <c r="R304" t="str">
        <f t="shared" si="2"/>
        <v>APSICB Trip</v>
      </c>
      <c r="S304" t="s">
        <v>216</v>
      </c>
      <c r="T304">
        <v>1</v>
      </c>
      <c r="U304" t="s">
        <v>217</v>
      </c>
      <c r="V304">
        <v>0</v>
      </c>
      <c r="W304" t="s">
        <v>218</v>
      </c>
      <c r="X304" t="s">
        <v>39</v>
      </c>
      <c r="Y304" t="s">
        <v>219</v>
      </c>
      <c r="Z304" s="39" t="s">
        <v>123</v>
      </c>
    </row>
    <row r="305" spans="1:26" ht="14.4" x14ac:dyDescent="0.3">
      <c r="A305" s="30"/>
      <c r="C305" s="54" t="s">
        <v>112</v>
      </c>
      <c r="D305" s="39" t="s">
        <v>476</v>
      </c>
      <c r="E305" t="s">
        <v>459</v>
      </c>
      <c r="F305" s="67" t="s">
        <v>331</v>
      </c>
      <c r="G305" s="42">
        <v>1</v>
      </c>
      <c r="H305" s="55">
        <v>8</v>
      </c>
      <c r="J305" s="55" t="s">
        <v>212</v>
      </c>
      <c r="L305" s="57" t="s">
        <v>213</v>
      </c>
      <c r="N305" s="34" t="s">
        <v>331</v>
      </c>
      <c r="O305" s="59" t="s">
        <v>214</v>
      </c>
      <c r="P305" s="34" t="s">
        <v>331</v>
      </c>
      <c r="Q305" s="52" t="s">
        <v>215</v>
      </c>
      <c r="R305" t="str">
        <f t="shared" si="2"/>
        <v>BCGCB Trip</v>
      </c>
      <c r="S305" t="s">
        <v>216</v>
      </c>
      <c r="T305">
        <v>1</v>
      </c>
      <c r="U305" t="s">
        <v>217</v>
      </c>
      <c r="V305">
        <v>0</v>
      </c>
      <c r="W305" t="s">
        <v>218</v>
      </c>
      <c r="X305" t="s">
        <v>39</v>
      </c>
      <c r="Y305" t="s">
        <v>219</v>
      </c>
      <c r="Z305" s="39" t="s">
        <v>123</v>
      </c>
    </row>
    <row r="306" spans="1:26" ht="14.4" x14ac:dyDescent="0.3">
      <c r="A306" s="30"/>
      <c r="C306" s="54" t="s">
        <v>112</v>
      </c>
      <c r="D306" s="39" t="s">
        <v>476</v>
      </c>
      <c r="E306" t="s">
        <v>460</v>
      </c>
      <c r="F306" s="67" t="s">
        <v>332</v>
      </c>
      <c r="G306" s="42">
        <v>1</v>
      </c>
      <c r="H306" s="39">
        <v>9</v>
      </c>
      <c r="J306" s="55" t="s">
        <v>212</v>
      </c>
      <c r="L306" s="57" t="s">
        <v>213</v>
      </c>
      <c r="N306" s="34" t="s">
        <v>332</v>
      </c>
      <c r="O306" s="59" t="s">
        <v>214</v>
      </c>
      <c r="P306" s="34" t="s">
        <v>332</v>
      </c>
      <c r="Q306" s="52" t="s">
        <v>215</v>
      </c>
      <c r="R306" t="str">
        <f t="shared" si="2"/>
        <v>DSCB Trip</v>
      </c>
      <c r="S306" t="s">
        <v>216</v>
      </c>
      <c r="T306">
        <v>1</v>
      </c>
      <c r="U306" t="s">
        <v>217</v>
      </c>
      <c r="V306">
        <v>0</v>
      </c>
      <c r="W306" t="s">
        <v>218</v>
      </c>
      <c r="X306" t="s">
        <v>39</v>
      </c>
      <c r="Y306" t="s">
        <v>219</v>
      </c>
      <c r="Z306" s="39" t="s">
        <v>123</v>
      </c>
    </row>
    <row r="307" spans="1:26" ht="14.4" x14ac:dyDescent="0.3">
      <c r="A307" s="30"/>
      <c r="C307" s="54" t="s">
        <v>112</v>
      </c>
      <c r="D307" s="39" t="s">
        <v>476</v>
      </c>
      <c r="E307" t="s">
        <v>461</v>
      </c>
      <c r="F307" s="67" t="s">
        <v>333</v>
      </c>
      <c r="G307" s="42">
        <v>2</v>
      </c>
      <c r="H307" s="55">
        <v>0</v>
      </c>
      <c r="J307" s="55" t="s">
        <v>212</v>
      </c>
      <c r="L307" s="57" t="s">
        <v>213</v>
      </c>
      <c r="N307" s="34" t="s">
        <v>333</v>
      </c>
      <c r="O307" s="59" t="s">
        <v>214</v>
      </c>
      <c r="P307" s="34" t="s">
        <v>333</v>
      </c>
      <c r="Q307" s="52" t="s">
        <v>215</v>
      </c>
      <c r="R307" t="str">
        <f t="shared" si="2"/>
        <v>MTBMCCB Trip</v>
      </c>
      <c r="S307" t="s">
        <v>216</v>
      </c>
      <c r="T307">
        <v>1</v>
      </c>
      <c r="U307" t="s">
        <v>217</v>
      </c>
      <c r="V307">
        <v>0</v>
      </c>
      <c r="W307" t="s">
        <v>218</v>
      </c>
      <c r="X307" t="s">
        <v>39</v>
      </c>
      <c r="Y307" t="s">
        <v>219</v>
      </c>
      <c r="Z307" s="39" t="s">
        <v>123</v>
      </c>
    </row>
    <row r="308" spans="1:26" ht="14.4" x14ac:dyDescent="0.3">
      <c r="A308" s="30"/>
      <c r="C308" s="54" t="s">
        <v>112</v>
      </c>
      <c r="D308" s="39" t="s">
        <v>476</v>
      </c>
      <c r="E308" t="s">
        <v>462</v>
      </c>
      <c r="F308" s="67" t="s">
        <v>334</v>
      </c>
      <c r="G308" s="42">
        <v>2</v>
      </c>
      <c r="H308" s="39">
        <v>1</v>
      </c>
      <c r="J308" s="55" t="s">
        <v>212</v>
      </c>
      <c r="L308" s="57" t="s">
        <v>213</v>
      </c>
      <c r="N308" s="34" t="s">
        <v>334</v>
      </c>
      <c r="O308" s="59" t="s">
        <v>214</v>
      </c>
      <c r="P308" s="34" t="s">
        <v>334</v>
      </c>
      <c r="Q308" s="52" t="s">
        <v>215</v>
      </c>
      <c r="R308" t="str">
        <f t="shared" si="2"/>
        <v>PADCB Trip</v>
      </c>
      <c r="S308" t="s">
        <v>216</v>
      </c>
      <c r="T308">
        <v>1</v>
      </c>
      <c r="U308" t="s">
        <v>217</v>
      </c>
      <c r="V308">
        <v>0</v>
      </c>
      <c r="W308" t="s">
        <v>218</v>
      </c>
      <c r="X308" t="s">
        <v>39</v>
      </c>
      <c r="Y308" t="s">
        <v>219</v>
      </c>
      <c r="Z308" s="39" t="s">
        <v>123</v>
      </c>
    </row>
    <row r="309" spans="1:26" ht="14.4" x14ac:dyDescent="0.3">
      <c r="A309" s="30"/>
      <c r="C309" s="54" t="s">
        <v>112</v>
      </c>
      <c r="D309" s="39" t="s">
        <v>476</v>
      </c>
      <c r="E309" t="s">
        <v>463</v>
      </c>
      <c r="F309" s="67" t="s">
        <v>335</v>
      </c>
      <c r="G309" s="42">
        <v>2</v>
      </c>
      <c r="H309" s="55">
        <v>2</v>
      </c>
      <c r="J309" s="55" t="s">
        <v>212</v>
      </c>
      <c r="L309" s="57" t="s">
        <v>213</v>
      </c>
      <c r="N309" s="34" t="s">
        <v>335</v>
      </c>
      <c r="O309" s="59" t="s">
        <v>214</v>
      </c>
      <c r="P309" s="34" t="s">
        <v>335</v>
      </c>
      <c r="Q309" s="52" t="s">
        <v>215</v>
      </c>
      <c r="R309" t="str">
        <f t="shared" si="2"/>
        <v>PANCB Trip</v>
      </c>
      <c r="S309" t="s">
        <v>216</v>
      </c>
      <c r="T309">
        <v>1</v>
      </c>
      <c r="U309" t="s">
        <v>217</v>
      </c>
      <c r="V309">
        <v>0</v>
      </c>
      <c r="W309" t="s">
        <v>218</v>
      </c>
      <c r="X309" t="s">
        <v>39</v>
      </c>
      <c r="Y309" t="s">
        <v>219</v>
      </c>
      <c r="Z309" s="39" t="s">
        <v>123</v>
      </c>
    </row>
    <row r="310" spans="1:26" ht="14.4" x14ac:dyDescent="0.3">
      <c r="A310" s="30"/>
      <c r="C310" s="54" t="s">
        <v>112</v>
      </c>
      <c r="D310" s="39" t="s">
        <v>476</v>
      </c>
      <c r="E310" t="s">
        <v>464</v>
      </c>
      <c r="F310" s="68" t="s">
        <v>336</v>
      </c>
      <c r="G310" s="42">
        <v>2</v>
      </c>
      <c r="H310" s="55">
        <v>3</v>
      </c>
      <c r="J310" s="55" t="s">
        <v>212</v>
      </c>
      <c r="L310" s="57" t="s">
        <v>213</v>
      </c>
      <c r="N310" s="34" t="s">
        <v>336</v>
      </c>
      <c r="O310" s="59" t="s">
        <v>214</v>
      </c>
      <c r="P310" s="34" t="s">
        <v>336</v>
      </c>
      <c r="Q310" s="52" t="s">
        <v>215</v>
      </c>
      <c r="R310" t="str">
        <f t="shared" si="2"/>
        <v>SAC1CB Trip</v>
      </c>
      <c r="S310" t="s">
        <v>216</v>
      </c>
      <c r="T310">
        <v>1</v>
      </c>
      <c r="U310" t="s">
        <v>217</v>
      </c>
      <c r="V310">
        <v>0</v>
      </c>
      <c r="W310" t="s">
        <v>218</v>
      </c>
      <c r="X310" t="s">
        <v>39</v>
      </c>
      <c r="Y310" t="s">
        <v>219</v>
      </c>
      <c r="Z310" s="39" t="s">
        <v>123</v>
      </c>
    </row>
    <row r="311" spans="1:26" ht="14.4" x14ac:dyDescent="0.3">
      <c r="A311" s="30"/>
      <c r="C311" s="54" t="s">
        <v>112</v>
      </c>
      <c r="D311" s="39" t="s">
        <v>476</v>
      </c>
      <c r="E311" t="s">
        <v>465</v>
      </c>
      <c r="F311" s="68" t="s">
        <v>337</v>
      </c>
      <c r="G311" s="42">
        <v>2</v>
      </c>
      <c r="H311" s="55">
        <v>4</v>
      </c>
      <c r="J311" s="55" t="s">
        <v>212</v>
      </c>
      <c r="L311" s="57" t="s">
        <v>213</v>
      </c>
      <c r="N311" s="34" t="s">
        <v>337</v>
      </c>
      <c r="O311" s="59" t="s">
        <v>214</v>
      </c>
      <c r="P311" s="34" t="s">
        <v>337</v>
      </c>
      <c r="Q311" s="52" t="s">
        <v>215</v>
      </c>
      <c r="R311" t="str">
        <f t="shared" si="2"/>
        <v>SSCB Trip</v>
      </c>
      <c r="S311" t="s">
        <v>216</v>
      </c>
      <c r="T311">
        <v>1</v>
      </c>
      <c r="U311" t="s">
        <v>217</v>
      </c>
      <c r="V311">
        <v>0</v>
      </c>
      <c r="W311" t="s">
        <v>218</v>
      </c>
      <c r="X311" t="s">
        <v>39</v>
      </c>
      <c r="Y311" t="s">
        <v>219</v>
      </c>
      <c r="Z311" s="39" t="s">
        <v>123</v>
      </c>
    </row>
    <row r="312" spans="1:26" ht="14.4" x14ac:dyDescent="0.3">
      <c r="A312" s="30"/>
      <c r="C312" s="54" t="s">
        <v>112</v>
      </c>
      <c r="D312" s="39" t="s">
        <v>476</v>
      </c>
      <c r="E312" t="s">
        <v>466</v>
      </c>
      <c r="F312" s="69" t="s">
        <v>338</v>
      </c>
      <c r="G312" s="42">
        <v>2</v>
      </c>
      <c r="H312" s="39">
        <v>5</v>
      </c>
      <c r="J312" s="55" t="s">
        <v>212</v>
      </c>
      <c r="L312" s="57" t="s">
        <v>213</v>
      </c>
      <c r="N312" s="34" t="s">
        <v>338</v>
      </c>
      <c r="O312" s="59" t="s">
        <v>214</v>
      </c>
      <c r="P312" s="34" t="s">
        <v>338</v>
      </c>
      <c r="Q312" s="52" t="s">
        <v>215</v>
      </c>
      <c r="R312" t="str">
        <f t="shared" si="2"/>
        <v>PTCB Trip</v>
      </c>
      <c r="S312" t="s">
        <v>216</v>
      </c>
      <c r="T312">
        <v>1</v>
      </c>
      <c r="U312" t="s">
        <v>217</v>
      </c>
      <c r="V312">
        <v>0</v>
      </c>
      <c r="W312" t="s">
        <v>218</v>
      </c>
      <c r="X312" t="s">
        <v>39</v>
      </c>
      <c r="Y312" t="s">
        <v>219</v>
      </c>
      <c r="Z312" s="39" t="s">
        <v>123</v>
      </c>
    </row>
    <row r="313" spans="1:26" ht="14.4" x14ac:dyDescent="0.3">
      <c r="A313" s="30"/>
      <c r="C313" s="54" t="s">
        <v>112</v>
      </c>
      <c r="D313" s="39" t="s">
        <v>476</v>
      </c>
      <c r="E313" t="s">
        <v>467</v>
      </c>
      <c r="F313" s="69" t="s">
        <v>339</v>
      </c>
      <c r="G313" s="42">
        <v>2</v>
      </c>
      <c r="H313" s="55">
        <v>6</v>
      </c>
      <c r="J313" s="55" t="s">
        <v>212</v>
      </c>
      <c r="L313" s="57" t="s">
        <v>213</v>
      </c>
      <c r="N313" s="34" t="s">
        <v>339</v>
      </c>
      <c r="O313" s="59" t="s">
        <v>214</v>
      </c>
      <c r="P313" s="34" t="s">
        <v>339</v>
      </c>
      <c r="Q313" s="52" t="s">
        <v>215</v>
      </c>
      <c r="R313" t="str">
        <f t="shared" si="2"/>
        <v>VCBCB Trip</v>
      </c>
      <c r="S313" t="s">
        <v>216</v>
      </c>
      <c r="T313">
        <v>1</v>
      </c>
      <c r="U313" t="s">
        <v>217</v>
      </c>
      <c r="V313">
        <v>0</v>
      </c>
      <c r="W313" t="s">
        <v>218</v>
      </c>
      <c r="X313" t="s">
        <v>39</v>
      </c>
      <c r="Y313" t="s">
        <v>219</v>
      </c>
      <c r="Z313" s="39" t="s">
        <v>123</v>
      </c>
    </row>
    <row r="314" spans="1:26" ht="14.4" x14ac:dyDescent="0.3">
      <c r="A314" s="30"/>
      <c r="C314" s="54" t="s">
        <v>112</v>
      </c>
      <c r="D314" s="39" t="s">
        <v>476</v>
      </c>
      <c r="E314" t="s">
        <v>468</v>
      </c>
      <c r="F314" s="69" t="s">
        <v>340</v>
      </c>
      <c r="G314" s="42">
        <v>2</v>
      </c>
      <c r="H314" s="55">
        <v>7</v>
      </c>
      <c r="J314" s="55" t="s">
        <v>212</v>
      </c>
      <c r="L314" s="57" t="s">
        <v>213</v>
      </c>
      <c r="N314" s="34" t="s">
        <v>340</v>
      </c>
      <c r="O314" s="59" t="s">
        <v>214</v>
      </c>
      <c r="P314" s="34" t="s">
        <v>340</v>
      </c>
      <c r="Q314" s="52" t="s">
        <v>215</v>
      </c>
      <c r="R314" t="str">
        <f t="shared" si="2"/>
        <v>SP12CB Trip</v>
      </c>
      <c r="S314" t="s">
        <v>216</v>
      </c>
      <c r="T314">
        <v>1</v>
      </c>
      <c r="U314" t="s">
        <v>217</v>
      </c>
      <c r="V314">
        <v>0</v>
      </c>
      <c r="W314" t="s">
        <v>218</v>
      </c>
      <c r="X314" t="s">
        <v>39</v>
      </c>
      <c r="Y314" t="s">
        <v>219</v>
      </c>
      <c r="Z314" s="39" t="s">
        <v>123</v>
      </c>
    </row>
    <row r="315" spans="1:26" ht="14.4" x14ac:dyDescent="0.3">
      <c r="A315" s="30"/>
      <c r="C315" s="54" t="s">
        <v>112</v>
      </c>
      <c r="D315" s="39" t="s">
        <v>476</v>
      </c>
      <c r="E315" t="s">
        <v>469</v>
      </c>
      <c r="F315" s="67" t="s">
        <v>341</v>
      </c>
      <c r="G315" s="42">
        <v>2</v>
      </c>
      <c r="H315" s="55">
        <v>8</v>
      </c>
      <c r="J315" s="55" t="s">
        <v>212</v>
      </c>
      <c r="L315" s="57" t="s">
        <v>213</v>
      </c>
      <c r="N315" s="34" t="s">
        <v>341</v>
      </c>
      <c r="O315" s="59" t="s">
        <v>214</v>
      </c>
      <c r="P315" s="34" t="s">
        <v>341</v>
      </c>
      <c r="Q315" s="52" t="s">
        <v>215</v>
      </c>
      <c r="R315" t="str">
        <f t="shared" si="2"/>
        <v>MTBM1CB Trip</v>
      </c>
      <c r="S315" t="s">
        <v>216</v>
      </c>
      <c r="T315">
        <v>1</v>
      </c>
      <c r="U315" t="s">
        <v>217</v>
      </c>
      <c r="V315">
        <v>0</v>
      </c>
      <c r="W315" t="s">
        <v>218</v>
      </c>
      <c r="X315" t="s">
        <v>39</v>
      </c>
      <c r="Y315" t="s">
        <v>219</v>
      </c>
      <c r="Z315" s="39" t="s">
        <v>123</v>
      </c>
    </row>
    <row r="316" spans="1:26" ht="14.4" x14ac:dyDescent="0.3">
      <c r="A316" s="30"/>
      <c r="C316" s="54" t="s">
        <v>112</v>
      </c>
      <c r="D316" s="39" t="s">
        <v>476</v>
      </c>
      <c r="E316" t="s">
        <v>470</v>
      </c>
      <c r="F316" s="67" t="s">
        <v>342</v>
      </c>
      <c r="G316" s="42">
        <v>2</v>
      </c>
      <c r="H316" s="39">
        <v>9</v>
      </c>
      <c r="J316" s="55" t="s">
        <v>212</v>
      </c>
      <c r="L316" s="57" t="s">
        <v>213</v>
      </c>
      <c r="N316" s="34" t="s">
        <v>342</v>
      </c>
      <c r="O316" s="59" t="s">
        <v>214</v>
      </c>
      <c r="P316" s="34" t="s">
        <v>342</v>
      </c>
      <c r="Q316" s="52" t="s">
        <v>215</v>
      </c>
      <c r="R316" t="str">
        <f t="shared" si="2"/>
        <v>MTBM2CB Trip</v>
      </c>
      <c r="S316" t="s">
        <v>216</v>
      </c>
      <c r="T316">
        <v>1</v>
      </c>
      <c r="U316" t="s">
        <v>217</v>
      </c>
      <c r="V316">
        <v>0</v>
      </c>
      <c r="W316" t="s">
        <v>218</v>
      </c>
      <c r="X316" t="s">
        <v>39</v>
      </c>
      <c r="Y316" t="s">
        <v>219</v>
      </c>
      <c r="Z316" s="39" t="s">
        <v>123</v>
      </c>
    </row>
    <row r="317" spans="1:26" ht="14.4" x14ac:dyDescent="0.3">
      <c r="A317" s="30"/>
      <c r="C317" s="54" t="s">
        <v>112</v>
      </c>
      <c r="D317" s="39" t="s">
        <v>476</v>
      </c>
      <c r="E317" t="s">
        <v>471</v>
      </c>
      <c r="F317" s="67" t="s">
        <v>343</v>
      </c>
      <c r="G317" s="42">
        <v>3</v>
      </c>
      <c r="H317" s="55">
        <v>0</v>
      </c>
      <c r="J317" s="55" t="s">
        <v>212</v>
      </c>
      <c r="L317" s="57" t="s">
        <v>213</v>
      </c>
      <c r="N317" s="34" t="s">
        <v>343</v>
      </c>
      <c r="O317" s="59" t="s">
        <v>214</v>
      </c>
      <c r="P317" s="34" t="s">
        <v>343</v>
      </c>
      <c r="Q317" s="52" t="s">
        <v>215</v>
      </c>
      <c r="R317" t="str">
        <f t="shared" si="2"/>
        <v>SP11CB Trip</v>
      </c>
      <c r="S317" t="s">
        <v>216</v>
      </c>
      <c r="T317">
        <v>1</v>
      </c>
      <c r="U317" t="s">
        <v>217</v>
      </c>
      <c r="V317">
        <v>0</v>
      </c>
      <c r="W317" t="s">
        <v>218</v>
      </c>
      <c r="X317" t="s">
        <v>39</v>
      </c>
      <c r="Y317" t="s">
        <v>219</v>
      </c>
      <c r="Z317" s="39" t="s">
        <v>123</v>
      </c>
    </row>
    <row r="318" spans="1:26" ht="14.4" x14ac:dyDescent="0.3">
      <c r="A318" s="30"/>
      <c r="C318" s="54" t="s">
        <v>112</v>
      </c>
      <c r="D318" s="39" t="s">
        <v>476</v>
      </c>
      <c r="E318" t="s">
        <v>472</v>
      </c>
      <c r="F318" s="67" t="s">
        <v>344</v>
      </c>
      <c r="G318" s="42">
        <v>3</v>
      </c>
      <c r="H318" s="55">
        <v>1</v>
      </c>
      <c r="J318" s="55" t="s">
        <v>212</v>
      </c>
      <c r="L318" s="57" t="s">
        <v>213</v>
      </c>
      <c r="N318" s="34" t="s">
        <v>344</v>
      </c>
      <c r="O318" s="59" t="s">
        <v>214</v>
      </c>
      <c r="P318" s="34" t="s">
        <v>344</v>
      </c>
      <c r="Q318" s="52" t="s">
        <v>215</v>
      </c>
      <c r="R318" t="str">
        <f t="shared" si="2"/>
        <v>SP6CB Trip</v>
      </c>
      <c r="S318" t="s">
        <v>216</v>
      </c>
      <c r="T318">
        <v>1</v>
      </c>
      <c r="U318" t="s">
        <v>217</v>
      </c>
      <c r="V318">
        <v>0</v>
      </c>
      <c r="W318" t="s">
        <v>218</v>
      </c>
      <c r="X318" t="s">
        <v>39</v>
      </c>
      <c r="Y318" t="s">
        <v>219</v>
      </c>
      <c r="Z318" s="39" t="s">
        <v>123</v>
      </c>
    </row>
    <row r="319" spans="1:26" ht="14.4" x14ac:dyDescent="0.3">
      <c r="A319" s="30"/>
      <c r="C319" s="54" t="s">
        <v>112</v>
      </c>
      <c r="D319" s="39" t="s">
        <v>476</v>
      </c>
      <c r="E319" t="s">
        <v>473</v>
      </c>
      <c r="F319" s="67" t="s">
        <v>345</v>
      </c>
      <c r="G319" s="42">
        <v>3</v>
      </c>
      <c r="H319" s="55">
        <v>2</v>
      </c>
      <c r="J319" s="55" t="s">
        <v>212</v>
      </c>
      <c r="L319" s="57" t="s">
        <v>213</v>
      </c>
      <c r="N319" s="34" t="s">
        <v>345</v>
      </c>
      <c r="O319" s="59" t="s">
        <v>214</v>
      </c>
      <c r="P319" s="34" t="s">
        <v>345</v>
      </c>
      <c r="Q319" s="52" t="s">
        <v>215</v>
      </c>
      <c r="R319" t="str">
        <f t="shared" si="2"/>
        <v>MTOPCB Trip</v>
      </c>
      <c r="S319" t="s">
        <v>216</v>
      </c>
      <c r="T319">
        <v>1</v>
      </c>
      <c r="U319" t="s">
        <v>217</v>
      </c>
      <c r="V319">
        <v>0</v>
      </c>
      <c r="W319" t="s">
        <v>218</v>
      </c>
      <c r="X319" t="s">
        <v>39</v>
      </c>
      <c r="Y319" t="s">
        <v>219</v>
      </c>
      <c r="Z319" s="39" t="s">
        <v>123</v>
      </c>
    </row>
    <row r="321" spans="1:26" x14ac:dyDescent="0.25">
      <c r="A321" s="31"/>
      <c r="B321" s="31"/>
      <c r="C321" s="32" t="s">
        <v>112</v>
      </c>
      <c r="D321" s="18"/>
      <c r="E321" s="33" t="s">
        <v>480</v>
      </c>
      <c r="F321" s="32"/>
      <c r="G321" s="20">
        <v>2</v>
      </c>
      <c r="H321" s="20">
        <v>0</v>
      </c>
      <c r="I321" s="26"/>
      <c r="J321" s="26" t="s">
        <v>38</v>
      </c>
      <c r="K321" s="24"/>
      <c r="L321" s="21"/>
      <c r="M321" s="19"/>
      <c r="N321" s="23" t="s">
        <v>481</v>
      </c>
      <c r="O321" s="66" t="s">
        <v>32</v>
      </c>
      <c r="P321" s="33" t="s">
        <v>67</v>
      </c>
      <c r="Q321" s="33" t="s">
        <v>49</v>
      </c>
      <c r="R321" s="33" t="s">
        <v>172</v>
      </c>
      <c r="S321" s="33"/>
      <c r="T321" s="33"/>
      <c r="U321" s="33"/>
      <c r="V321" s="33"/>
      <c r="W321" s="23"/>
      <c r="X321" s="23"/>
      <c r="Y321" s="23"/>
      <c r="Z321" s="40"/>
    </row>
    <row r="322" spans="1:26" x14ac:dyDescent="0.25">
      <c r="A322" s="30"/>
      <c r="B322" s="30"/>
      <c r="C322" s="54" t="s">
        <v>112</v>
      </c>
      <c r="D322" s="39" t="s">
        <v>480</v>
      </c>
      <c r="E322" s="39" t="s">
        <v>482</v>
      </c>
      <c r="F322" s="11"/>
      <c r="G322" s="22">
        <v>0</v>
      </c>
      <c r="H322" s="22">
        <v>0</v>
      </c>
      <c r="I322" s="27"/>
      <c r="J322" s="27" t="s">
        <v>55</v>
      </c>
      <c r="K322" s="37"/>
      <c r="L322" s="28" t="s">
        <v>81</v>
      </c>
      <c r="M322" s="35"/>
      <c r="N322" s="11" t="s">
        <v>346</v>
      </c>
      <c r="O322" s="45"/>
      <c r="Q322" s="39"/>
      <c r="R322" s="39"/>
      <c r="S322" s="39"/>
      <c r="T322" s="39"/>
      <c r="U322" s="39"/>
      <c r="V322" s="39"/>
      <c r="Z322" s="38"/>
    </row>
    <row r="323" spans="1:26" ht="14.4" x14ac:dyDescent="0.3">
      <c r="A323" s="30"/>
      <c r="C323" s="54" t="s">
        <v>112</v>
      </c>
      <c r="D323" s="39" t="s">
        <v>480</v>
      </c>
      <c r="E323" t="s">
        <v>474</v>
      </c>
      <c r="F323" s="67" t="s">
        <v>346</v>
      </c>
      <c r="G323" s="55">
        <v>1</v>
      </c>
      <c r="H323" s="42">
        <v>0</v>
      </c>
      <c r="I323" s="27" t="s">
        <v>39</v>
      </c>
      <c r="J323" s="27" t="s">
        <v>56</v>
      </c>
      <c r="K323" s="37">
        <v>0</v>
      </c>
      <c r="L323" s="41" t="s">
        <v>490</v>
      </c>
      <c r="M323" s="35"/>
      <c r="N323"/>
      <c r="O323" s="46" t="s">
        <v>57</v>
      </c>
      <c r="P323" s="36" t="s">
        <v>574</v>
      </c>
      <c r="Q323" t="s">
        <v>58</v>
      </c>
      <c r="R323" s="43" t="s">
        <v>488</v>
      </c>
      <c r="S323" s="49"/>
      <c r="T323" s="43"/>
      <c r="U323" s="49"/>
      <c r="Z323" s="38"/>
    </row>
    <row r="324" spans="1:26" ht="14.4" x14ac:dyDescent="0.3">
      <c r="A324" s="30"/>
      <c r="C324" s="54" t="s">
        <v>112</v>
      </c>
      <c r="D324" s="39" t="s">
        <v>480</v>
      </c>
      <c r="E324" t="s">
        <v>483</v>
      </c>
      <c r="F324" s="67" t="s">
        <v>346</v>
      </c>
      <c r="G324" s="55">
        <v>2</v>
      </c>
      <c r="H324" s="42">
        <v>0</v>
      </c>
      <c r="I324" s="27" t="s">
        <v>39</v>
      </c>
      <c r="J324" t="s">
        <v>59</v>
      </c>
      <c r="K324" s="37"/>
      <c r="L324" s="28" t="s">
        <v>71</v>
      </c>
      <c r="M324" s="35"/>
      <c r="N324"/>
      <c r="O324" s="46" t="s">
        <v>60</v>
      </c>
      <c r="P324" s="39" t="s">
        <v>489</v>
      </c>
      <c r="Q324" s="39"/>
      <c r="R324" s="39"/>
    </row>
    <row r="325" spans="1:26" ht="14.4" x14ac:dyDescent="0.3">
      <c r="A325" s="30"/>
      <c r="C325" s="54" t="s">
        <v>112</v>
      </c>
      <c r="D325" s="39" t="s">
        <v>480</v>
      </c>
      <c r="E325" t="s">
        <v>484</v>
      </c>
      <c r="F325" s="67"/>
      <c r="G325" s="55">
        <v>0</v>
      </c>
      <c r="H325" s="42">
        <v>1</v>
      </c>
      <c r="I325" s="27"/>
      <c r="J325" s="27" t="s">
        <v>55</v>
      </c>
      <c r="K325" s="37"/>
      <c r="L325" s="28" t="s">
        <v>81</v>
      </c>
      <c r="M325" s="35"/>
      <c r="N325" s="11" t="s">
        <v>347</v>
      </c>
      <c r="O325" s="45"/>
      <c r="Q325" s="39"/>
      <c r="R325" s="39"/>
      <c r="S325" s="39"/>
      <c r="T325" s="39"/>
      <c r="U325" s="39"/>
      <c r="V325" s="39"/>
      <c r="Z325" s="38"/>
    </row>
    <row r="326" spans="1:26" ht="14.4" x14ac:dyDescent="0.3">
      <c r="A326" s="30"/>
      <c r="C326" s="54" t="s">
        <v>112</v>
      </c>
      <c r="D326" s="39" t="s">
        <v>480</v>
      </c>
      <c r="E326" t="s">
        <v>475</v>
      </c>
      <c r="F326" s="67" t="s">
        <v>347</v>
      </c>
      <c r="G326" s="39">
        <v>1</v>
      </c>
      <c r="H326" s="42">
        <v>1</v>
      </c>
      <c r="I326" s="27" t="s">
        <v>39</v>
      </c>
      <c r="J326" s="27" t="s">
        <v>56</v>
      </c>
      <c r="K326" s="37">
        <v>0</v>
      </c>
      <c r="L326" s="41" t="s">
        <v>490</v>
      </c>
      <c r="M326" s="35"/>
      <c r="N326"/>
      <c r="O326" s="46" t="s">
        <v>57</v>
      </c>
      <c r="P326" s="36" t="s">
        <v>574</v>
      </c>
      <c r="Q326" t="s">
        <v>58</v>
      </c>
      <c r="R326" s="43" t="s">
        <v>488</v>
      </c>
      <c r="S326" s="49"/>
      <c r="T326" s="43"/>
      <c r="U326" s="49"/>
      <c r="Z326" s="38"/>
    </row>
    <row r="327" spans="1:26" ht="14.4" x14ac:dyDescent="0.3">
      <c r="A327" s="30"/>
      <c r="C327" s="54" t="s">
        <v>112</v>
      </c>
      <c r="D327" s="39" t="s">
        <v>480</v>
      </c>
      <c r="E327" t="s">
        <v>485</v>
      </c>
      <c r="F327" s="67" t="s">
        <v>347</v>
      </c>
      <c r="G327" s="39">
        <v>2</v>
      </c>
      <c r="H327" s="42">
        <v>1</v>
      </c>
      <c r="I327" s="27" t="s">
        <v>39</v>
      </c>
      <c r="J327" t="s">
        <v>59</v>
      </c>
      <c r="K327" s="37"/>
      <c r="L327" s="28" t="s">
        <v>71</v>
      </c>
      <c r="M327" s="35"/>
      <c r="N327"/>
      <c r="O327" s="46" t="s">
        <v>60</v>
      </c>
      <c r="P327" s="39" t="s">
        <v>489</v>
      </c>
      <c r="Q327" s="39"/>
      <c r="R327" s="39"/>
    </row>
    <row r="328" spans="1:26" ht="14.4" x14ac:dyDescent="0.3">
      <c r="A328" s="30"/>
      <c r="C328" s="54" t="s">
        <v>112</v>
      </c>
      <c r="D328" s="39" t="s">
        <v>480</v>
      </c>
      <c r="E328" t="s">
        <v>486</v>
      </c>
      <c r="F328" s="67"/>
      <c r="G328" s="39">
        <v>0</v>
      </c>
      <c r="H328" s="42">
        <v>2</v>
      </c>
      <c r="I328" s="27"/>
      <c r="J328" s="27" t="s">
        <v>55</v>
      </c>
      <c r="K328" s="37"/>
      <c r="L328" s="28" t="s">
        <v>81</v>
      </c>
      <c r="M328" s="35"/>
      <c r="N328" s="11" t="s">
        <v>327</v>
      </c>
      <c r="O328" s="45"/>
      <c r="Q328" s="39"/>
      <c r="R328" s="39"/>
      <c r="S328" s="39"/>
      <c r="T328" s="39"/>
      <c r="U328" s="39"/>
      <c r="V328" s="39"/>
      <c r="Z328" s="38"/>
    </row>
    <row r="329" spans="1:26" ht="14.4" x14ac:dyDescent="0.3">
      <c r="A329" s="30"/>
      <c r="C329" s="54" t="s">
        <v>112</v>
      </c>
      <c r="D329" s="39" t="s">
        <v>480</v>
      </c>
      <c r="E329" t="s">
        <v>455</v>
      </c>
      <c r="F329" s="67" t="s">
        <v>327</v>
      </c>
      <c r="G329" s="55">
        <v>1</v>
      </c>
      <c r="H329" s="42">
        <v>2</v>
      </c>
      <c r="I329" s="27" t="s">
        <v>39</v>
      </c>
      <c r="J329" s="27" t="s">
        <v>56</v>
      </c>
      <c r="K329" s="37">
        <v>0</v>
      </c>
      <c r="L329" s="41" t="s">
        <v>490</v>
      </c>
      <c r="M329" s="35"/>
      <c r="N329"/>
      <c r="O329" s="46" t="s">
        <v>57</v>
      </c>
      <c r="P329" s="36" t="s">
        <v>574</v>
      </c>
      <c r="Q329" t="s">
        <v>58</v>
      </c>
      <c r="R329" s="43" t="s">
        <v>488</v>
      </c>
      <c r="S329" s="49"/>
      <c r="T329" s="43"/>
      <c r="U329" s="49"/>
      <c r="Z329" s="38"/>
    </row>
    <row r="330" spans="1:26" ht="14.4" x14ac:dyDescent="0.3">
      <c r="A330" s="30"/>
      <c r="C330" s="54" t="s">
        <v>112</v>
      </c>
      <c r="D330" s="39" t="s">
        <v>480</v>
      </c>
      <c r="E330" t="s">
        <v>487</v>
      </c>
      <c r="F330" s="67" t="s">
        <v>327</v>
      </c>
      <c r="G330" s="55">
        <v>2</v>
      </c>
      <c r="H330" s="42">
        <v>2</v>
      </c>
      <c r="I330" s="27" t="s">
        <v>39</v>
      </c>
      <c r="J330" t="s">
        <v>59</v>
      </c>
      <c r="K330" s="37"/>
      <c r="L330" s="28" t="s">
        <v>71</v>
      </c>
      <c r="M330" s="35"/>
      <c r="N330"/>
      <c r="O330" s="46" t="s">
        <v>60</v>
      </c>
      <c r="P330" s="39" t="s">
        <v>489</v>
      </c>
      <c r="Q330" s="39"/>
      <c r="R330" s="39"/>
    </row>
    <row r="331" spans="1:26" ht="14.4" x14ac:dyDescent="0.3">
      <c r="A331" s="30"/>
      <c r="C331" s="54" t="s">
        <v>112</v>
      </c>
      <c r="D331" s="39" t="s">
        <v>480</v>
      </c>
      <c r="E331" t="s">
        <v>456</v>
      </c>
      <c r="F331" s="67" t="s">
        <v>328</v>
      </c>
      <c r="G331" s="39">
        <v>0</v>
      </c>
      <c r="H331" s="42">
        <v>3</v>
      </c>
      <c r="I331" s="27" t="s">
        <v>39</v>
      </c>
      <c r="J331" s="55" t="s">
        <v>69</v>
      </c>
      <c r="K331" s="56">
        <v>0</v>
      </c>
      <c r="L331" s="57" t="s">
        <v>110</v>
      </c>
      <c r="M331" s="58"/>
      <c r="N331" s="52" t="s">
        <v>328</v>
      </c>
      <c r="O331" s="59" t="s">
        <v>62</v>
      </c>
      <c r="P331" s="22">
        <v>0</v>
      </c>
      <c r="Q331" s="52" t="s">
        <v>61</v>
      </c>
      <c r="R331" s="22">
        <v>1</v>
      </c>
      <c r="S331" s="52"/>
      <c r="T331" s="52"/>
      <c r="U331" s="52"/>
      <c r="V331" s="52"/>
      <c r="W331" s="52"/>
      <c r="X331" s="52"/>
      <c r="Y331" s="52"/>
      <c r="Z331" s="60"/>
    </row>
  </sheetData>
  <autoFilter ref="A1:Z284" xr:uid="{00000000-0009-0000-0000-000003000000}"/>
  <phoneticPr fontId="4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Rules</vt:lpstr>
      <vt:lpstr>Setup</vt:lpstr>
      <vt:lpstr>SoftPLC tiles</vt:lpstr>
    </vt:vector>
  </TitlesOfParts>
  <Company>Knorr Bremse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Viet</dc:creator>
  <cp:lastModifiedBy>HINGANE Sushant</cp:lastModifiedBy>
  <dcterms:created xsi:type="dcterms:W3CDTF">2015-01-29T05:35:56Z</dcterms:created>
  <dcterms:modified xsi:type="dcterms:W3CDTF">2024-02-27T09:53:52Z</dcterms:modified>
</cp:coreProperties>
</file>