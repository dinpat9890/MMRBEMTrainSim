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SVN\MMRBEM\trunk\content\worlds\test_track\source\featureplacement\input\"/>
    </mc:Choice>
  </mc:AlternateContent>
  <xr:revisionPtr revIDLastSave="0" documentId="13_ncr:1_{D7D40E80-01DE-44D6-839B-9EAEEA2B5494}" xr6:coauthVersionLast="47" xr6:coauthVersionMax="47" xr10:uidLastSave="{00000000-0000-0000-0000-000000000000}"/>
  <bookViews>
    <workbookView xWindow="2304" yWindow="2304" windowWidth="17280" windowHeight="8964" tabRatio="746" activeTab="5" xr2:uid="{00000000-000D-0000-FFFF-FFFF00000000}"/>
  </bookViews>
  <sheets>
    <sheet name="Track Title" sheetId="1" r:id="rId1"/>
    <sheet name="FEATURE_RULES" sheetId="5" r:id="rId2"/>
    <sheet name="Feature Query" sheetId="25" r:id="rId3"/>
    <sheet name="Errors" sheetId="13" r:id="rId4"/>
    <sheet name="Query" sheetId="29" r:id="rId5"/>
    <sheet name="Test_Features" sheetId="30" r:id="rId6"/>
    <sheet name="CBTC Beacons" sheetId="31" r:id="rId7"/>
  </sheets>
  <definedNames>
    <definedName name="_xlnm._FilterDatabase" localSheetId="6" hidden="1">'CBTC Beacons'!$A$7:$X$7</definedName>
    <definedName name="_xlnm._FilterDatabase" localSheetId="5" hidden="1">Test_Features!$A$7:$X$49</definedName>
    <definedName name="file_path" localSheetId="6">#REF!</definedName>
    <definedName name="file_path" localSheetId="5">#REF!</definedName>
    <definedName name="file_path">#REF!</definedName>
    <definedName name="KPH_2" localSheetId="6">#REF!</definedName>
    <definedName name="KPH_2" localSheetId="5">#REF!</definedName>
    <definedName name="KPH_2">#REF!</definedName>
    <definedName name="KPH_3" localSheetId="6">#REF!</definedName>
    <definedName name="KPH_3" localSheetId="5">#REF!</definedName>
    <definedName name="KPH_3">#REF!</definedName>
    <definedName name="KPH_TO_MPS" localSheetId="6">#REF!</definedName>
    <definedName name="KPH_TO_MPS" localSheetId="5">#REF!</definedName>
    <definedName name="KPH_TO_MPS">#REF!</definedName>
    <definedName name="KPH_TO_MS" localSheetId="6">#REF!</definedName>
    <definedName name="KPH_TO_MS" localSheetId="5">#REF!</definedName>
    <definedName name="KPH_TO_MS">#REF!</definedName>
    <definedName name="TC" localSheetId="6">#REF!</definedName>
    <definedName name="TC" localSheetId="5">#REF!</definedName>
    <definedName name="T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2" i="31" l="1"/>
  <c r="I331" i="31"/>
  <c r="I330" i="31"/>
  <c r="I329" i="31"/>
  <c r="I328" i="31"/>
  <c r="I324" i="31"/>
  <c r="I323" i="31"/>
  <c r="I322" i="31"/>
  <c r="I321" i="31"/>
  <c r="I320" i="31"/>
  <c r="I319" i="31"/>
  <c r="I318" i="31"/>
  <c r="I317" i="31"/>
  <c r="I316" i="31"/>
  <c r="I315" i="31"/>
  <c r="I314" i="31"/>
  <c r="I313" i="31"/>
  <c r="I312" i="31"/>
  <c r="I308" i="31"/>
  <c r="I307" i="31"/>
  <c r="I306" i="31"/>
  <c r="I305" i="31"/>
  <c r="I301" i="31"/>
  <c r="I300" i="31"/>
  <c r="I299" i="31"/>
  <c r="I298" i="31"/>
  <c r="I297" i="31"/>
  <c r="I296" i="31"/>
  <c r="I295" i="31"/>
  <c r="I294" i="31"/>
  <c r="I293" i="31"/>
  <c r="I292" i="31"/>
  <c r="I291" i="31"/>
  <c r="I285" i="31"/>
  <c r="I284" i="31"/>
  <c r="I283" i="31"/>
  <c r="I282" i="31"/>
  <c r="I281" i="31"/>
  <c r="I280" i="31"/>
  <c r="I279" i="31"/>
  <c r="I278" i="31"/>
  <c r="I275" i="31"/>
  <c r="I274" i="31"/>
  <c r="I273" i="31"/>
  <c r="I272" i="31"/>
  <c r="I271" i="31"/>
  <c r="I264" i="31"/>
  <c r="I263" i="31"/>
  <c r="I262" i="31"/>
  <c r="I261" i="31"/>
  <c r="I260" i="31"/>
  <c r="I259" i="31"/>
  <c r="I258" i="31"/>
  <c r="I257" i="31"/>
  <c r="I256" i="31"/>
  <c r="I255" i="31"/>
  <c r="I254" i="31"/>
  <c r="I246" i="31"/>
  <c r="I245" i="31"/>
  <c r="I244" i="31"/>
  <c r="I243" i="31"/>
  <c r="I242" i="31"/>
  <c r="I241" i="31"/>
  <c r="I240" i="31"/>
  <c r="I239" i="31"/>
  <c r="I238" i="31"/>
  <c r="I237" i="31"/>
  <c r="I236" i="31"/>
  <c r="I227" i="31"/>
  <c r="I226" i="31"/>
  <c r="I225" i="31"/>
  <c r="I224" i="31"/>
  <c r="I223" i="31"/>
  <c r="I222" i="31"/>
  <c r="I221" i="31"/>
  <c r="I220" i="31"/>
  <c r="I219" i="31"/>
  <c r="I218" i="31"/>
  <c r="I217" i="31"/>
  <c r="I207" i="31"/>
  <c r="I206" i="31"/>
  <c r="I205" i="31"/>
  <c r="I204" i="31"/>
  <c r="I203" i="31"/>
  <c r="I202" i="31"/>
  <c r="I201" i="31"/>
  <c r="I200" i="31"/>
  <c r="I199" i="31"/>
  <c r="I198" i="31"/>
  <c r="I197" i="31"/>
  <c r="I187" i="31"/>
  <c r="I186" i="31"/>
  <c r="I185" i="31"/>
  <c r="I184" i="31"/>
  <c r="I183" i="31"/>
  <c r="I182" i="31"/>
  <c r="I181" i="31"/>
  <c r="I180" i="31"/>
  <c r="I179" i="31"/>
  <c r="I178" i="31"/>
  <c r="I177" i="31"/>
  <c r="I176" i="31"/>
  <c r="I175" i="31"/>
  <c r="I174" i="31"/>
  <c r="I173" i="31"/>
  <c r="I172" i="31"/>
  <c r="I171" i="31"/>
  <c r="I170" i="31"/>
  <c r="I169" i="31"/>
  <c r="I168" i="31"/>
  <c r="I167" i="31"/>
  <c r="I166" i="31"/>
  <c r="I162" i="31"/>
  <c r="I161" i="31"/>
  <c r="I160" i="31"/>
  <c r="I159" i="31"/>
  <c r="I158" i="31"/>
  <c r="I157" i="31"/>
  <c r="I156" i="31"/>
  <c r="I155" i="31"/>
  <c r="I154" i="31"/>
  <c r="I153" i="31"/>
  <c r="I152" i="31"/>
  <c r="I148" i="31"/>
  <c r="I147" i="31"/>
  <c r="I146" i="31"/>
  <c r="I143" i="31"/>
  <c r="I142" i="31"/>
  <c r="I141" i="31"/>
  <c r="I140" i="31"/>
  <c r="I139" i="31"/>
  <c r="I138" i="31"/>
  <c r="I137" i="31"/>
  <c r="I136" i="31"/>
  <c r="I135" i="31"/>
  <c r="I134" i="31"/>
  <c r="I133" i="31"/>
  <c r="I125" i="31"/>
  <c r="I124" i="31"/>
  <c r="I123" i="31"/>
  <c r="I122" i="31"/>
  <c r="I121" i="31"/>
  <c r="I120" i="31"/>
  <c r="I119" i="31"/>
  <c r="I118" i="31"/>
  <c r="I117" i="31"/>
  <c r="I116" i="31"/>
  <c r="I115" i="31"/>
  <c r="I114" i="31"/>
  <c r="I113" i="31"/>
  <c r="I112" i="31"/>
  <c r="I107" i="31"/>
  <c r="I106" i="31"/>
  <c r="I105" i="31"/>
  <c r="I104" i="31"/>
  <c r="I103" i="31"/>
  <c r="I102" i="31"/>
  <c r="I101" i="31"/>
  <c r="I100" i="31"/>
  <c r="I99" i="31"/>
  <c r="I98" i="31"/>
  <c r="I97" i="31"/>
  <c r="I88" i="31"/>
  <c r="I87" i="31"/>
  <c r="I86" i="31"/>
  <c r="I85" i="31"/>
  <c r="I84" i="31"/>
  <c r="I83" i="31"/>
  <c r="I82" i="31"/>
  <c r="I81" i="31"/>
  <c r="I80" i="31"/>
  <c r="I79" i="31"/>
  <c r="I78" i="31"/>
  <c r="I70" i="31"/>
  <c r="I69" i="31"/>
  <c r="I68" i="31"/>
  <c r="I67" i="31"/>
  <c r="I66" i="31"/>
  <c r="I65" i="31"/>
  <c r="I62" i="31"/>
  <c r="I61" i="31"/>
  <c r="I60" i="31"/>
  <c r="I52" i="31"/>
  <c r="I51" i="31"/>
  <c r="I50" i="31"/>
  <c r="I49" i="31"/>
  <c r="I48" i="31"/>
  <c r="I47" i="31"/>
  <c r="I46" i="31"/>
  <c r="I45" i="31"/>
  <c r="I44" i="31"/>
  <c r="I43" i="31"/>
  <c r="I42" i="31"/>
  <c r="I30" i="31"/>
  <c r="I27" i="31"/>
  <c r="I26" i="31"/>
  <c r="I25" i="31"/>
  <c r="I24" i="31"/>
  <c r="I23" i="31"/>
  <c r="I22" i="31"/>
  <c r="I21" i="31"/>
  <c r="I20" i="31"/>
  <c r="I16" i="31"/>
  <c r="I15" i="31"/>
  <c r="I14" i="31"/>
  <c r="I13" i="31"/>
  <c r="I12" i="31"/>
  <c r="I11" i="31"/>
  <c r="I10" i="31"/>
  <c r="I9" i="31"/>
  <c r="I53" i="30"/>
  <c r="G53" i="30"/>
  <c r="H53" i="30" s="1"/>
  <c r="I52" i="30"/>
  <c r="G52" i="30"/>
  <c r="H52" i="30" s="1"/>
  <c r="C52" i="30"/>
  <c r="H332" i="31"/>
  <c r="I8" i="31"/>
  <c r="I7" i="31"/>
  <c r="I327" i="31"/>
  <c r="I326" i="31"/>
  <c r="I325" i="31"/>
  <c r="I311" i="31"/>
  <c r="I310" i="31"/>
  <c r="I309" i="31"/>
  <c r="I304" i="31"/>
  <c r="I303" i="31"/>
  <c r="I302" i="31"/>
  <c r="I290" i="31"/>
  <c r="I289" i="31"/>
  <c r="I288" i="31"/>
  <c r="I287" i="31"/>
  <c r="I286" i="31"/>
  <c r="I277" i="31"/>
  <c r="I276" i="31"/>
  <c r="I270" i="31"/>
  <c r="I269" i="31"/>
  <c r="I268" i="31"/>
  <c r="I267" i="31"/>
  <c r="I266" i="31"/>
  <c r="I265" i="31"/>
  <c r="I253" i="31"/>
  <c r="I252" i="31"/>
  <c r="I251" i="31"/>
  <c r="I250" i="31"/>
  <c r="I249" i="31"/>
  <c r="I248" i="31"/>
  <c r="I247" i="31"/>
  <c r="I235" i="31"/>
  <c r="I234" i="31"/>
  <c r="I233" i="31"/>
  <c r="I232" i="31"/>
  <c r="I231" i="31"/>
  <c r="I230" i="31"/>
  <c r="I229" i="31"/>
  <c r="I228" i="31"/>
  <c r="I216" i="31"/>
  <c r="I215" i="31"/>
  <c r="I214" i="31"/>
  <c r="I213" i="31"/>
  <c r="I212" i="31"/>
  <c r="I211" i="31"/>
  <c r="I210" i="31"/>
  <c r="I209" i="31"/>
  <c r="I208" i="31"/>
  <c r="I196" i="31"/>
  <c r="I195" i="31"/>
  <c r="I194" i="31"/>
  <c r="I193" i="31"/>
  <c r="I192" i="31"/>
  <c r="I191" i="31"/>
  <c r="I190" i="31"/>
  <c r="I189" i="31"/>
  <c r="I188" i="31"/>
  <c r="I165" i="31"/>
  <c r="I164" i="31"/>
  <c r="I163" i="31"/>
  <c r="I151" i="31"/>
  <c r="I150" i="31"/>
  <c r="I149" i="31"/>
  <c r="I145" i="31"/>
  <c r="I144" i="31"/>
  <c r="I132" i="31"/>
  <c r="I131" i="31"/>
  <c r="I130" i="31"/>
  <c r="I129" i="31"/>
  <c r="I128" i="31"/>
  <c r="I127" i="31"/>
  <c r="I126" i="31"/>
  <c r="I111" i="31"/>
  <c r="I110" i="31"/>
  <c r="I109" i="31"/>
  <c r="I108" i="31"/>
  <c r="I96" i="31"/>
  <c r="I95" i="31"/>
  <c r="I94" i="31"/>
  <c r="I93" i="31"/>
  <c r="I92" i="31"/>
  <c r="I91" i="31"/>
  <c r="I90" i="31"/>
  <c r="I89" i="31"/>
  <c r="I77" i="31"/>
  <c r="I76" i="31"/>
  <c r="I75" i="31"/>
  <c r="I74" i="31"/>
  <c r="I73" i="31"/>
  <c r="I72" i="31"/>
  <c r="I71" i="31"/>
  <c r="I64" i="31"/>
  <c r="I63" i="31"/>
  <c r="I59" i="31"/>
  <c r="I58" i="31"/>
  <c r="I57" i="31"/>
  <c r="I56" i="31"/>
  <c r="I55" i="31"/>
  <c r="I54" i="31"/>
  <c r="I53" i="31"/>
  <c r="I41" i="31"/>
  <c r="I40" i="31"/>
  <c r="I39" i="31"/>
  <c r="I38" i="31"/>
  <c r="I37" i="31"/>
  <c r="I36" i="31"/>
  <c r="I35" i="31"/>
  <c r="I34" i="31"/>
  <c r="I33" i="31"/>
  <c r="I32" i="31"/>
  <c r="I31" i="31"/>
  <c r="I29" i="31"/>
  <c r="I28" i="31"/>
  <c r="I19" i="31"/>
  <c r="I18" i="31"/>
  <c r="I17" i="31"/>
  <c r="H331" i="31"/>
  <c r="H330" i="31"/>
  <c r="H329" i="31"/>
  <c r="H328" i="31"/>
  <c r="H327" i="31"/>
  <c r="H326" i="31"/>
  <c r="H325" i="31"/>
  <c r="H324" i="31"/>
  <c r="H323" i="31"/>
  <c r="H322" i="31"/>
  <c r="H321" i="31"/>
  <c r="H320" i="31"/>
  <c r="H319" i="31"/>
  <c r="H318" i="31"/>
  <c r="H317" i="31"/>
  <c r="H316" i="31"/>
  <c r="H315" i="31"/>
  <c r="H314" i="31"/>
  <c r="H313" i="31"/>
  <c r="H312" i="31"/>
  <c r="H311" i="31"/>
  <c r="H310" i="31"/>
  <c r="H309" i="31"/>
  <c r="H308" i="31"/>
  <c r="H307" i="31"/>
  <c r="H306" i="31"/>
  <c r="H305" i="31"/>
  <c r="H304" i="31"/>
  <c r="H303" i="31"/>
  <c r="H302" i="31"/>
  <c r="H301" i="31"/>
  <c r="H300" i="31"/>
  <c r="H299" i="31"/>
  <c r="H298" i="31"/>
  <c r="H297" i="31"/>
  <c r="H296" i="31"/>
  <c r="H295" i="31"/>
  <c r="H294" i="31"/>
  <c r="H293" i="31"/>
  <c r="H292" i="31"/>
  <c r="H291" i="31"/>
  <c r="H290" i="31"/>
  <c r="H289" i="31"/>
  <c r="H288" i="31"/>
  <c r="H287" i="31"/>
  <c r="H286" i="31"/>
  <c r="H285" i="31"/>
  <c r="H284" i="31"/>
  <c r="H283" i="31"/>
  <c r="H282" i="31"/>
  <c r="H281" i="31"/>
  <c r="H280" i="31"/>
  <c r="H279" i="31"/>
  <c r="H278" i="31"/>
  <c r="H277" i="31"/>
  <c r="H276" i="31"/>
  <c r="H275" i="31"/>
  <c r="H274" i="31"/>
  <c r="H273" i="31"/>
  <c r="H272" i="31"/>
  <c r="H271" i="31"/>
  <c r="H270" i="31"/>
  <c r="H269" i="31"/>
  <c r="H268" i="31"/>
  <c r="H267" i="31"/>
  <c r="H266" i="31"/>
  <c r="H265" i="31"/>
  <c r="H264" i="31"/>
  <c r="H263" i="31"/>
  <c r="H262" i="31"/>
  <c r="H261" i="31"/>
  <c r="H260" i="31"/>
  <c r="H259" i="31"/>
  <c r="H258" i="31"/>
  <c r="H257" i="31"/>
  <c r="H256" i="31"/>
  <c r="H255" i="31"/>
  <c r="H254" i="31"/>
  <c r="H253" i="31"/>
  <c r="H252" i="31"/>
  <c r="H251" i="31"/>
  <c r="H250" i="31"/>
  <c r="H249" i="31"/>
  <c r="H248" i="31"/>
  <c r="H247" i="31"/>
  <c r="H246" i="31"/>
  <c r="H245" i="31"/>
  <c r="H244" i="31"/>
  <c r="H243" i="31"/>
  <c r="H242" i="31"/>
  <c r="H241" i="31"/>
  <c r="H240" i="31"/>
  <c r="H239" i="31"/>
  <c r="H238" i="31"/>
  <c r="H237" i="31"/>
  <c r="H236" i="31"/>
  <c r="H235" i="31"/>
  <c r="H234" i="31"/>
  <c r="H233" i="31"/>
  <c r="H232" i="31"/>
  <c r="H231" i="31"/>
  <c r="H230" i="31"/>
  <c r="H229" i="31"/>
  <c r="H228" i="31"/>
  <c r="H227" i="31"/>
  <c r="H226" i="31"/>
  <c r="H225" i="31"/>
  <c r="H224" i="31"/>
  <c r="H223" i="31"/>
  <c r="H222" i="31"/>
  <c r="H221" i="31"/>
  <c r="H220" i="31"/>
  <c r="H219" i="31"/>
  <c r="H218" i="31"/>
  <c r="H217" i="31"/>
  <c r="H216" i="31"/>
  <c r="H215" i="31"/>
  <c r="H214" i="31"/>
  <c r="H213" i="31"/>
  <c r="H212" i="31"/>
  <c r="H211" i="31"/>
  <c r="H210" i="31"/>
  <c r="H209" i="31"/>
  <c r="H208" i="31"/>
  <c r="H207" i="31"/>
  <c r="H206" i="31"/>
  <c r="H205" i="31"/>
  <c r="H204" i="31"/>
  <c r="H203" i="31"/>
  <c r="H202" i="31"/>
  <c r="H201" i="31"/>
  <c r="H200" i="31"/>
  <c r="H199" i="31"/>
  <c r="H198" i="31"/>
  <c r="H197" i="31"/>
  <c r="H196" i="31"/>
  <c r="H195" i="31"/>
  <c r="H194" i="31"/>
  <c r="H193" i="31"/>
  <c r="H192" i="31"/>
  <c r="H191" i="31"/>
  <c r="H190" i="31"/>
  <c r="H189" i="31"/>
  <c r="H188" i="31"/>
  <c r="H187" i="31"/>
  <c r="H186" i="31"/>
  <c r="H185" i="31"/>
  <c r="H184" i="31"/>
  <c r="H183" i="31"/>
  <c r="H182" i="31"/>
  <c r="H181" i="31"/>
  <c r="H180" i="31"/>
  <c r="H179" i="31"/>
  <c r="H178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C8" i="31"/>
  <c r="H8" i="31"/>
  <c r="C7" i="31"/>
  <c r="H7" i="31" l="1"/>
  <c r="G51" i="30"/>
  <c r="H51" i="30" s="1"/>
  <c r="C51" i="30"/>
  <c r="I45" i="30"/>
  <c r="I44" i="30"/>
  <c r="I50" i="30"/>
  <c r="I49" i="30"/>
  <c r="I48" i="30"/>
  <c r="I47" i="30"/>
  <c r="I46" i="30"/>
  <c r="I43" i="30"/>
  <c r="I42" i="30"/>
  <c r="I41" i="30"/>
  <c r="I40" i="30"/>
  <c r="I39" i="30"/>
  <c r="I38" i="30"/>
  <c r="I37" i="30"/>
  <c r="I36" i="30"/>
  <c r="G36" i="30"/>
  <c r="C45" i="30"/>
  <c r="C44" i="30"/>
  <c r="C50" i="30"/>
  <c r="C49" i="30"/>
  <c r="C48" i="30"/>
  <c r="C47" i="30"/>
  <c r="C46" i="30"/>
  <c r="C43" i="30"/>
  <c r="C42" i="30"/>
  <c r="C41" i="30"/>
  <c r="C40" i="30"/>
  <c r="C39" i="30"/>
  <c r="C38" i="30"/>
  <c r="C37" i="30"/>
  <c r="I27" i="30"/>
  <c r="I26" i="30"/>
  <c r="I25" i="30"/>
  <c r="I24" i="30"/>
  <c r="I32" i="30"/>
  <c r="I31" i="30"/>
  <c r="I30" i="30"/>
  <c r="I29" i="30"/>
  <c r="I28" i="30"/>
  <c r="I23" i="30"/>
  <c r="I22" i="30"/>
  <c r="I21" i="30"/>
  <c r="I20" i="30"/>
  <c r="I19" i="30"/>
  <c r="I18" i="30"/>
  <c r="C18" i="30"/>
  <c r="I17" i="30"/>
  <c r="I16" i="30"/>
  <c r="I15" i="30"/>
  <c r="I14" i="30"/>
  <c r="I11" i="30"/>
  <c r="I9" i="30"/>
  <c r="I8" i="30"/>
  <c r="I7" i="30"/>
  <c r="C27" i="30"/>
  <c r="C26" i="30"/>
  <c r="G27" i="30"/>
  <c r="H27" i="30" s="1"/>
  <c r="C25" i="30"/>
  <c r="C24" i="30"/>
  <c r="C17" i="30"/>
  <c r="C16" i="30"/>
  <c r="G17" i="30"/>
  <c r="H17" i="30" s="1"/>
  <c r="C15" i="30"/>
  <c r="C14" i="30"/>
  <c r="M10" i="30"/>
  <c r="C32" i="30"/>
  <c r="C31" i="30"/>
  <c r="C30" i="30"/>
  <c r="C29" i="30"/>
  <c r="C28" i="30"/>
  <c r="C23" i="30"/>
  <c r="C22" i="30"/>
  <c r="C21" i="30"/>
  <c r="C20" i="30"/>
  <c r="C19" i="30"/>
  <c r="C13" i="30"/>
  <c r="C12" i="30"/>
  <c r="C10" i="30"/>
  <c r="C11" i="30"/>
  <c r="C9" i="30"/>
  <c r="G8" i="30"/>
  <c r="G9" i="30" s="1"/>
  <c r="C8" i="30"/>
  <c r="H7" i="30"/>
  <c r="C7" i="30"/>
  <c r="G11" i="30" l="1"/>
  <c r="G13" i="30" s="1"/>
  <c r="H9" i="30"/>
  <c r="H8" i="30"/>
  <c r="H11" i="30" l="1"/>
  <c r="D5" i="1"/>
  <c r="D4" i="1"/>
  <c r="H13" i="30" l="1"/>
  <c r="G14" i="30"/>
  <c r="H15" i="30" s="1"/>
  <c r="G16" i="30" l="1"/>
  <c r="H14" i="30"/>
  <c r="G18" i="30" l="1"/>
  <c r="H16" i="30"/>
  <c r="H18" i="30" l="1"/>
  <c r="G19" i="30"/>
  <c r="H19" i="30" l="1"/>
  <c r="G20" i="30"/>
  <c r="G21" i="30" l="1"/>
  <c r="H20" i="30"/>
  <c r="H21" i="30" l="1"/>
  <c r="G22" i="30"/>
  <c r="H22" i="30" l="1"/>
  <c r="G23" i="30"/>
  <c r="G24" i="30" l="1"/>
  <c r="H25" i="30" s="1"/>
  <c r="H23" i="30"/>
  <c r="H24" i="30" l="1"/>
  <c r="G26" i="30"/>
  <c r="G28" i="30" l="1"/>
  <c r="H26" i="30"/>
  <c r="G29" i="30" l="1"/>
  <c r="H28" i="30"/>
  <c r="H29" i="30" l="1"/>
  <c r="G30" i="30"/>
  <c r="G31" i="30" l="1"/>
  <c r="H31" i="30" s="1"/>
  <c r="H30" i="30"/>
  <c r="G32" i="30" l="1"/>
  <c r="H32" i="30" l="1"/>
  <c r="G33" i="30"/>
  <c r="G34" i="30" l="1"/>
  <c r="H33" i="30"/>
  <c r="G35" i="30" l="1"/>
  <c r="H34" i="30"/>
  <c r="H36" i="30" l="1"/>
  <c r="H35" i="30"/>
  <c r="G37" i="30" l="1"/>
  <c r="G38" i="30" l="1"/>
  <c r="H37" i="30"/>
  <c r="G39" i="30" l="1"/>
  <c r="H38" i="30"/>
  <c r="G40" i="30" l="1"/>
  <c r="H39" i="30"/>
  <c r="G41" i="30" l="1"/>
  <c r="H40" i="30"/>
  <c r="G42" i="30" l="1"/>
  <c r="H41" i="30"/>
  <c r="G43" i="30" l="1"/>
  <c r="H42" i="30"/>
  <c r="G44" i="30" l="1"/>
  <c r="G45" i="30" s="1"/>
  <c r="H45" i="30" s="1"/>
  <c r="H43" i="30"/>
  <c r="H44" i="30" l="1"/>
  <c r="G46" i="30"/>
  <c r="H46" i="30" l="1"/>
  <c r="G47" i="30"/>
  <c r="G48" i="30" l="1"/>
  <c r="H47" i="30"/>
  <c r="H48" i="30" l="1"/>
  <c r="G49" i="30"/>
  <c r="G50" i="30" s="1"/>
  <c r="H50" i="30" s="1"/>
  <c r="H49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KANADE Yogesh</author>
  </authors>
  <commentList>
    <comment ref="A6" authorId="0" shapeId="0" xr:uid="{70DA0315-60D5-48AF-B002-829176CDD109}">
      <text>
        <r>
          <rPr>
            <b/>
            <sz val="9"/>
            <color indexed="81"/>
            <rFont val="Tahoma"/>
            <charset val="1"/>
          </rPr>
          <t>Unused columns: CORRECTION
(M), CHAINAGE, DIFFSPEED, STDSPEED, SPEED, SPEED METRIC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KANADE Yogesh</author>
  </authors>
  <commentList>
    <comment ref="A6" authorId="0" shapeId="0" xr:uid="{40B9A926-E2A9-4D03-8A4E-CFD38119C8DF}">
      <text>
        <r>
          <rPr>
            <b/>
            <sz val="9"/>
            <color indexed="81"/>
            <rFont val="Tahoma"/>
            <charset val="1"/>
          </rPr>
          <t>Unused columns: CORRECTION
(M), CHAINAGE, LABEL, LABEL1, LABEL2, HEIGHTADJUST, DIFFSPEED, STDSPEED, POLEENABLE, SPEED, SPEED METRIC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B43F46-2A87-48E4-B137-80C4C80CD0F3}" keepAlive="1" name="Query - qry_feature_definitions" description="Connection to the 'qry_feature_definitions' query in the workbook." type="5" refreshedVersion="6" saveData="1">
    <dbPr connection="Provider=Microsoft.Mashup.OleDb.1;Data Source=$Workbook$;Location=qry_feature_definitions;Extended Properties=&quot;&quot;" command="SELECT * FROM [qry_feature_definitions]"/>
  </connection>
</connections>
</file>

<file path=xl/sharedStrings.xml><?xml version="1.0" encoding="utf-8"?>
<sst xmlns="http://schemas.openxmlformats.org/spreadsheetml/2006/main" count="4537" uniqueCount="458">
  <si>
    <t>Description</t>
  </si>
  <si>
    <t>HEADER</t>
  </si>
  <si>
    <t>Name</t>
  </si>
  <si>
    <t>Value</t>
  </si>
  <si>
    <t>WORLD_DESCRIPTION</t>
  </si>
  <si>
    <t>Title</t>
  </si>
  <si>
    <t>Error</t>
  </si>
  <si>
    <t>From Alpha</t>
  </si>
  <si>
    <t>Type</t>
  </si>
  <si>
    <t>Orientation</t>
  </si>
  <si>
    <t>Flip</t>
  </si>
  <si>
    <t>FEATURE_RULE</t>
  </si>
  <si>
    <t>Location</t>
  </si>
  <si>
    <t>Date</t>
  </si>
  <si>
    <t>ID</t>
  </si>
  <si>
    <t>AUTO_ID</t>
  </si>
  <si>
    <t>Offset</t>
  </si>
  <si>
    <t>Placement</t>
  </si>
  <si>
    <t>Reverse</t>
  </si>
  <si>
    <t>X</t>
  </si>
  <si>
    <t>Y</t>
  </si>
  <si>
    <t>Heading</t>
  </si>
  <si>
    <t>Pitch</t>
  </si>
  <si>
    <t>Initial State</t>
  </si>
  <si>
    <t>HeightAdjust</t>
  </si>
  <si>
    <t>PoleEnable</t>
  </si>
  <si>
    <t>FEATURE</t>
  </si>
  <si>
    <t>Path</t>
  </si>
  <si>
    <t>DiffSpeed</t>
  </si>
  <si>
    <t>StdSpeed</t>
  </si>
  <si>
    <t>Test_Features_Track</t>
  </si>
  <si>
    <t>State</t>
  </si>
  <si>
    <t>Segment Name</t>
  </si>
  <si>
    <t>Path Offset</t>
  </si>
  <si>
    <t>Path Orientation</t>
  </si>
  <si>
    <t>Path From Alpha</t>
  </si>
  <si>
    <t>Z</t>
  </si>
  <si>
    <t>H</t>
  </si>
  <si>
    <t>P</t>
  </si>
  <si>
    <t>R</t>
  </si>
  <si>
    <t>Enable Features</t>
  </si>
  <si>
    <t>Correction
(m)</t>
  </si>
  <si>
    <t>Chainage</t>
  </si>
  <si>
    <t>Scaled Offset</t>
  </si>
  <si>
    <t>Speed</t>
  </si>
  <si>
    <t>Speed Metric</t>
  </si>
  <si>
    <t>Buffer_Stop</t>
  </si>
  <si>
    <t>CBTC Beacon</t>
  </si>
  <si>
    <t>Main_Line_Signal_Long</t>
  </si>
  <si>
    <t>Main_Line_Signal_Short</t>
  </si>
  <si>
    <t>Route_Indicator</t>
  </si>
  <si>
    <t>Shunt_Signal</t>
  </si>
  <si>
    <t>Shunt_Signal_Attach</t>
  </si>
  <si>
    <t>2A_Board</t>
  </si>
  <si>
    <t>2B_Board</t>
  </si>
  <si>
    <t>ATC_Begins_Marker_Board</t>
  </si>
  <si>
    <t>Depot_Exit_Board</t>
  </si>
  <si>
    <t>Fouling_Mark</t>
  </si>
  <si>
    <t>Fouling_Mark_FM</t>
  </si>
  <si>
    <t>L7_Board</t>
  </si>
  <si>
    <t>LT_Board</t>
  </si>
  <si>
    <t>Neutral_Section_Warning_Board_Blue</t>
  </si>
  <si>
    <t>Neutral_Section_Warning_Board_White</t>
  </si>
  <si>
    <t>Normal_Stopping_Marker_Board</t>
  </si>
  <si>
    <t>Restricted_Manual_Mode_Marker_Board</t>
  </si>
  <si>
    <t>Speed_Restriction_Marker_Board</t>
  </si>
  <si>
    <t>Stopping_Reverse_Marker_Board</t>
  </si>
  <si>
    <t>Virtual_Signal_Marker_Board</t>
  </si>
  <si>
    <t>Start</t>
  </si>
  <si>
    <t>250m</t>
  </si>
  <si>
    <t>START_to_LEV1</t>
  </si>
  <si>
    <t>ID_10000</t>
  </si>
  <si>
    <t>End</t>
  </si>
  <si>
    <t>500m</t>
  </si>
  <si>
    <t>ABCDE</t>
  </si>
  <si>
    <t>label</t>
  </si>
  <si>
    <t>label1</t>
  </si>
  <si>
    <t>label2</t>
  </si>
  <si>
    <t>Neutral Section</t>
  </si>
  <si>
    <t>NS_End_Sign</t>
  </si>
  <si>
    <t>NS_Start_Sign</t>
  </si>
  <si>
    <t>Track Obstructions</t>
  </si>
  <si>
    <t>Marker Pin</t>
  </si>
  <si>
    <t>Obstruction - Car</t>
  </si>
  <si>
    <t>Obstruction - Cow</t>
  </si>
  <si>
    <t>Obstruction - Horse</t>
  </si>
  <si>
    <t>Obstruction - Sheep</t>
  </si>
  <si>
    <t>Obstruction - Sleeper</t>
  </si>
  <si>
    <t>Obstruction - Tree</t>
  </si>
  <si>
    <t>Unauthorised Personnel on the Track</t>
  </si>
  <si>
    <t>Broken Rail</t>
  </si>
  <si>
    <t>Obstruction - Kite</t>
  </si>
  <si>
    <t>Obstruction - Rope</t>
  </si>
  <si>
    <t>Obstruction - Shirt</t>
  </si>
  <si>
    <t>Track Workers</t>
  </si>
  <si>
    <t>Visible</t>
  </si>
  <si>
    <t>Fire</t>
  </si>
  <si>
    <t>BOTH</t>
  </si>
  <si>
    <t>Severe Break</t>
  </si>
  <si>
    <t>Small Break</t>
  </si>
  <si>
    <t>Obstruction - Banner_Flag</t>
  </si>
  <si>
    <t>CLM_1</t>
  </si>
  <si>
    <t>BC_4019</t>
  </si>
  <si>
    <t>BC_2073</t>
  </si>
  <si>
    <t>BC_4027</t>
  </si>
  <si>
    <t>BC_2083</t>
  </si>
  <si>
    <t>BC_2084</t>
  </si>
  <si>
    <t>BC_4032</t>
  </si>
  <si>
    <t>BC_4036</t>
  </si>
  <si>
    <t>BC_4508</t>
  </si>
  <si>
    <t>BC_5005</t>
  </si>
  <si>
    <t>BC_1040</t>
  </si>
  <si>
    <t>BC_1051</t>
  </si>
  <si>
    <t>BC_4053</t>
  </si>
  <si>
    <t>BC_2093</t>
  </si>
  <si>
    <t>BC_2094</t>
  </si>
  <si>
    <t>BC_2097</t>
  </si>
  <si>
    <t>BC_2098</t>
  </si>
  <si>
    <t>BC_4055</t>
  </si>
  <si>
    <t>BC_2102</t>
  </si>
  <si>
    <t>BC_2103</t>
  </si>
  <si>
    <t>BC_2106</t>
  </si>
  <si>
    <t>BC_2107</t>
  </si>
  <si>
    <t>BC_4067</t>
  </si>
  <si>
    <t>BC_1068</t>
  </si>
  <si>
    <t>BC_1073</t>
  </si>
  <si>
    <t>BC_5023</t>
  </si>
  <si>
    <t>BC_5027</t>
  </si>
  <si>
    <t>BC_5030</t>
  </si>
  <si>
    <t>BC_5032</t>
  </si>
  <si>
    <t>BC_5034</t>
  </si>
  <si>
    <t>BC_5037</t>
  </si>
  <si>
    <t>BC_5040</t>
  </si>
  <si>
    <t>BC_1096</t>
  </si>
  <si>
    <t>BC_1098</t>
  </si>
  <si>
    <t>BC_4139</t>
  </si>
  <si>
    <t>BC_2134</t>
  </si>
  <si>
    <t>BC_2135</t>
  </si>
  <si>
    <t>BC_2139</t>
  </si>
  <si>
    <t>BC_2140</t>
  </si>
  <si>
    <t>BC_4141</t>
  </si>
  <si>
    <t>BC_2143</t>
  </si>
  <si>
    <t>BC_2144</t>
  </si>
  <si>
    <t>BC_2150</t>
  </si>
  <si>
    <t>BC_2151</t>
  </si>
  <si>
    <t>BC_4143</t>
  </si>
  <si>
    <t>BC_1101</t>
  </si>
  <si>
    <t>BC_1103</t>
  </si>
  <si>
    <t>BC_5050</t>
  </si>
  <si>
    <t>BC_5054</t>
  </si>
  <si>
    <t>BC_5056</t>
  </si>
  <si>
    <t>BC_1109</t>
  </si>
  <si>
    <t>BC_1112</t>
  </si>
  <si>
    <t>BC_4152</t>
  </si>
  <si>
    <t>BC_2173</t>
  </si>
  <si>
    <t>BC_2174</t>
  </si>
  <si>
    <t>BC_2177</t>
  </si>
  <si>
    <t>BC_2178</t>
  </si>
  <si>
    <t>BC_4154</t>
  </si>
  <si>
    <t>BC_2183</t>
  </si>
  <si>
    <t>BC_2184</t>
  </si>
  <si>
    <t>BC_2188</t>
  </si>
  <si>
    <t>BC_2189</t>
  </si>
  <si>
    <t>BC_4157</t>
  </si>
  <si>
    <t>BC_1118</t>
  </si>
  <si>
    <t>BC_1120</t>
  </si>
  <si>
    <t>BC_5063</t>
  </si>
  <si>
    <t>BC_5068</t>
  </si>
  <si>
    <t>BC_5070</t>
  </si>
  <si>
    <t>BC_1127</t>
  </si>
  <si>
    <t>BC_1130</t>
  </si>
  <si>
    <t>BC_4167</t>
  </si>
  <si>
    <t>BC_2209</t>
  </si>
  <si>
    <t>BC_2210</t>
  </si>
  <si>
    <t>BC_2214</t>
  </si>
  <si>
    <t>BC_2215</t>
  </si>
  <si>
    <t>BC_4170</t>
  </si>
  <si>
    <t>BC_2220</t>
  </si>
  <si>
    <t>BC_2223</t>
  </si>
  <si>
    <t>BC_2226</t>
  </si>
  <si>
    <t>BC_2227</t>
  </si>
  <si>
    <t>BC_4172</t>
  </si>
  <si>
    <t>BC_1137</t>
  </si>
  <si>
    <t>BC_1139</t>
  </si>
  <si>
    <t>BC_5076</t>
  </si>
  <si>
    <t>BC_5079</t>
  </si>
  <si>
    <t>BC_5085</t>
  </si>
  <si>
    <t>BC_5087</t>
  </si>
  <si>
    <t>BC_1142</t>
  </si>
  <si>
    <t>BC_1143</t>
  </si>
  <si>
    <t>BC_4174</t>
  </si>
  <si>
    <t>BC_2230</t>
  </si>
  <si>
    <t>BC_2231</t>
  </si>
  <si>
    <t>BC_2234</t>
  </si>
  <si>
    <t>BC_2235</t>
  </si>
  <si>
    <t>BC_4176</t>
  </si>
  <si>
    <t>BC_2238</t>
  </si>
  <si>
    <t>BC_2239</t>
  </si>
  <si>
    <t>BC_2243</t>
  </si>
  <si>
    <t>BC_2244</t>
  </si>
  <si>
    <t>BC_4182</t>
  </si>
  <si>
    <t>BC_1145</t>
  </si>
  <si>
    <t>BC_1147</t>
  </si>
  <si>
    <t>BC_5092</t>
  </si>
  <si>
    <t>BC_5094</t>
  </si>
  <si>
    <t>BC_5096</t>
  </si>
  <si>
    <t>BC_1156</t>
  </si>
  <si>
    <t>BC_1157</t>
  </si>
  <si>
    <t>BC_4195</t>
  </si>
  <si>
    <t>BC_2269</t>
  </si>
  <si>
    <t>BC_2270</t>
  </si>
  <si>
    <t>BC_2274</t>
  </si>
  <si>
    <t>BC_2275</t>
  </si>
  <si>
    <t>BC_4199</t>
  </si>
  <si>
    <t>BC_2281</t>
  </si>
  <si>
    <t>BC_2282</t>
  </si>
  <si>
    <t>BC_2285</t>
  </si>
  <si>
    <t>BC_2286</t>
  </si>
  <si>
    <t>BC_4204</t>
  </si>
  <si>
    <t>BC_1164</t>
  </si>
  <si>
    <t>BC_5101</t>
  </si>
  <si>
    <t>BC_5107</t>
  </si>
  <si>
    <t>BC_5110</t>
  </si>
  <si>
    <t>BC_5113</t>
  </si>
  <si>
    <t>BC_1170</t>
  </si>
  <si>
    <t>BC_1172</t>
  </si>
  <si>
    <t>BC_4218</t>
  </si>
  <si>
    <t>BC_2312</t>
  </si>
  <si>
    <t>BC_2313</t>
  </si>
  <si>
    <t>BC_2316</t>
  </si>
  <si>
    <t>BC_2317</t>
  </si>
  <si>
    <t>BC_4220</t>
  </si>
  <si>
    <t>BC_2320</t>
  </si>
  <si>
    <t>BC_2322</t>
  </si>
  <si>
    <t>BC_2325</t>
  </si>
  <si>
    <t>BC_2326</t>
  </si>
  <si>
    <t>BC_4221</t>
  </si>
  <si>
    <t>BC_1180</t>
  </si>
  <si>
    <t>BC_1182</t>
  </si>
  <si>
    <t>BC_4520</t>
  </si>
  <si>
    <t>BC_4225</t>
  </si>
  <si>
    <t>BC_4226</t>
  </si>
  <si>
    <t>BC_4230</t>
  </si>
  <si>
    <t>BC_1187</t>
  </si>
  <si>
    <t>BC_1188</t>
  </si>
  <si>
    <t>BC_4522</t>
  </si>
  <si>
    <t>BC_4238</t>
  </si>
  <si>
    <t>BC_2351</t>
  </si>
  <si>
    <t>BC_2352</t>
  </si>
  <si>
    <t>BC_2355</t>
  </si>
  <si>
    <t>BC_2356</t>
  </si>
  <si>
    <t>BC_4240</t>
  </si>
  <si>
    <t>BC_2359</t>
  </si>
  <si>
    <t>BC_2360</t>
  </si>
  <si>
    <t>BC_2363</t>
  </si>
  <si>
    <t>BC_2365</t>
  </si>
  <si>
    <t>BC_1197</t>
  </si>
  <si>
    <t>BC_1198</t>
  </si>
  <si>
    <t>BC_1199</t>
  </si>
  <si>
    <t>BC_4242</t>
  </si>
  <si>
    <t>BC_2367</t>
  </si>
  <si>
    <t>BC_2368</t>
  </si>
  <si>
    <t>BC_2370</t>
  </si>
  <si>
    <t>BC_2372</t>
  </si>
  <si>
    <t>BC_2374</t>
  </si>
  <si>
    <t>BC_4245</t>
  </si>
  <si>
    <t>BC_4523</t>
  </si>
  <si>
    <t>BC_4247</t>
  </si>
  <si>
    <t>BC_4250</t>
  </si>
  <si>
    <t>BC_1209</t>
  </si>
  <si>
    <t>BC_1210</t>
  </si>
  <si>
    <t>BC_2398</t>
  </si>
  <si>
    <t>BC_2399</t>
  </si>
  <si>
    <t>BC_2402</t>
  </si>
  <si>
    <t>BC_2403</t>
  </si>
  <si>
    <t>BC_4259</t>
  </si>
  <si>
    <t>BC_2408</t>
  </si>
  <si>
    <t>BC_2410</t>
  </si>
  <si>
    <t>BC_2413</t>
  </si>
  <si>
    <t>BC_2414</t>
  </si>
  <si>
    <t>BC_4261</t>
  </si>
  <si>
    <t>BC_1218</t>
  </si>
  <si>
    <t>BC_1220</t>
  </si>
  <si>
    <t>BC_5159</t>
  </si>
  <si>
    <t>BC_5172</t>
  </si>
  <si>
    <t>BC_5179</t>
  </si>
  <si>
    <t>BC_5184</t>
  </si>
  <si>
    <t>BC_5189</t>
  </si>
  <si>
    <t>BC_1233</t>
  </si>
  <si>
    <t>BC_1235</t>
  </si>
  <si>
    <t>BC_4271</t>
  </si>
  <si>
    <t>BC_2437</t>
  </si>
  <si>
    <t>BC_2438</t>
  </si>
  <si>
    <t>BC_2443</t>
  </si>
  <si>
    <t>BC_2444</t>
  </si>
  <si>
    <t>BC_4273</t>
  </si>
  <si>
    <t>BC_2447</t>
  </si>
  <si>
    <t>BC_2448</t>
  </si>
  <si>
    <t>BC_2451</t>
  </si>
  <si>
    <t>BC_2452</t>
  </si>
  <si>
    <t>BC_4276</t>
  </si>
  <si>
    <t>BC_1237</t>
  </si>
  <si>
    <t>BC_1239</t>
  </si>
  <si>
    <t>BC_5198</t>
  </si>
  <si>
    <t>BC_5202</t>
  </si>
  <si>
    <t>BC_5206</t>
  </si>
  <si>
    <t>BC_5209</t>
  </si>
  <si>
    <t>BC_5211</t>
  </si>
  <si>
    <t>BC_1254</t>
  </si>
  <si>
    <t>BC_1256</t>
  </si>
  <si>
    <t>BC_4284</t>
  </si>
  <si>
    <t>BC_2473</t>
  </si>
  <si>
    <t>BC_2474</t>
  </si>
  <si>
    <t>BC_2478</t>
  </si>
  <si>
    <t>BC_2479</t>
  </si>
  <si>
    <t>BC_4286</t>
  </si>
  <si>
    <t>BC_2483</t>
  </si>
  <si>
    <t>BC_2484</t>
  </si>
  <si>
    <t>BC_2487</t>
  </si>
  <si>
    <t>BC_2488</t>
  </si>
  <si>
    <t>BC_4288</t>
  </si>
  <si>
    <t>BC_1262</t>
  </si>
  <si>
    <t>BC_1265</t>
  </si>
  <si>
    <t>BC_5217</t>
  </si>
  <si>
    <t>BC_5219</t>
  </si>
  <si>
    <t>BC_5220</t>
  </si>
  <si>
    <t>BC_5230</t>
  </si>
  <si>
    <t>BC_1272</t>
  </si>
  <si>
    <t>BC_1275</t>
  </si>
  <si>
    <t>BC_4296</t>
  </si>
  <si>
    <t>BC_2510</t>
  </si>
  <si>
    <t>BC_2511</t>
  </si>
  <si>
    <t>BC_2514</t>
  </si>
  <si>
    <t>BC_2515</t>
  </si>
  <si>
    <t>BC_4298</t>
  </si>
  <si>
    <t>BC_2518</t>
  </si>
  <si>
    <t>BC_2520</t>
  </si>
  <si>
    <t>BC_2523</t>
  </si>
  <si>
    <t>BC_2524</t>
  </si>
  <si>
    <t>BC_4300</t>
  </si>
  <si>
    <t>BC_1281</t>
  </si>
  <si>
    <t>BC_1284</t>
  </si>
  <si>
    <t>BC_5237</t>
  </si>
  <si>
    <t>BC_5238</t>
  </si>
  <si>
    <t>BC_5244</t>
  </si>
  <si>
    <t>BC_1292</t>
  </si>
  <si>
    <t>BC_1294</t>
  </si>
  <si>
    <t>BC_4309</t>
  </si>
  <si>
    <t>BC_2545</t>
  </si>
  <si>
    <t>BC_2546</t>
  </si>
  <si>
    <t>BC_2549</t>
  </si>
  <si>
    <t>BC_2551</t>
  </si>
  <si>
    <t>BC_4311</t>
  </si>
  <si>
    <t>BC_2554</t>
  </si>
  <si>
    <t>BC_2555</t>
  </si>
  <si>
    <t>BC_2558</t>
  </si>
  <si>
    <t>BC_2559</t>
  </si>
  <si>
    <t>BC_4316</t>
  </si>
  <si>
    <t>BC_1300</t>
  </si>
  <si>
    <t>BC_1303</t>
  </si>
  <si>
    <t>BC_5250</t>
  </si>
  <si>
    <t>BC_5252</t>
  </si>
  <si>
    <t>BC_1311</t>
  </si>
  <si>
    <t>BC_1314</t>
  </si>
  <si>
    <t>BC_5254</t>
  </si>
  <si>
    <t>BC_4529</t>
  </si>
  <si>
    <t>BC_4341</t>
  </si>
  <si>
    <t>BC_2592</t>
  </si>
  <si>
    <t>BC_2593</t>
  </si>
  <si>
    <t>BC_2597</t>
  </si>
  <si>
    <t>BC_2598</t>
  </si>
  <si>
    <t>BC_4343</t>
  </si>
  <si>
    <t>BC_2601</t>
  </si>
  <si>
    <t>BC_2602</t>
  </si>
  <si>
    <t>BC_2607</t>
  </si>
  <si>
    <t>BC_2608</t>
  </si>
  <si>
    <t>BC_4345</t>
  </si>
  <si>
    <t>BC_4535</t>
  </si>
  <si>
    <t>BC_5256</t>
  </si>
  <si>
    <t>BC_1316</t>
  </si>
  <si>
    <t>BC_1318</t>
  </si>
  <si>
    <t>BC_5258</t>
  </si>
  <si>
    <t>BC_1321</t>
  </si>
  <si>
    <t>BC_1323</t>
  </si>
  <si>
    <t>BC_4348</t>
  </si>
  <si>
    <t>BC_2611</t>
  </si>
  <si>
    <t>BC_2612</t>
  </si>
  <si>
    <t>BC_2615</t>
  </si>
  <si>
    <t>BC_2616</t>
  </si>
  <si>
    <t>BC_4350</t>
  </si>
  <si>
    <t>BC_2619</t>
  </si>
  <si>
    <t>BC_2620</t>
  </si>
  <si>
    <t>BC_2623</t>
  </si>
  <si>
    <t>BC_2624</t>
  </si>
  <si>
    <t>BC_4352</t>
  </si>
  <si>
    <t>BC_1325</t>
  </si>
  <si>
    <t>BC_1328</t>
  </si>
  <si>
    <t>BC_5260</t>
  </si>
  <si>
    <t>BC_4537</t>
  </si>
  <si>
    <t>BC_4354</t>
  </si>
  <si>
    <t>BC_4358</t>
  </si>
  <si>
    <t>BC_4360</t>
  </si>
  <si>
    <t>BC_5262</t>
  </si>
  <si>
    <t>BC_1330</t>
  </si>
  <si>
    <t>BC_1332</t>
  </si>
  <si>
    <t>BC_4540</t>
  </si>
  <si>
    <t>BC_4364</t>
  </si>
  <si>
    <t>BC_2627</t>
  </si>
  <si>
    <t>BC_2628</t>
  </si>
  <si>
    <t>BC_2632</t>
  </si>
  <si>
    <t>BC_2634</t>
  </si>
  <si>
    <t>BC_4366</t>
  </si>
  <si>
    <t>BC_2638</t>
  </si>
  <si>
    <t>BC_2639</t>
  </si>
  <si>
    <t>BC_2642</t>
  </si>
  <si>
    <t>BC_2643</t>
  </si>
  <si>
    <t>BC_4369</t>
  </si>
  <si>
    <t>BC_4542</t>
  </si>
  <si>
    <t>BC_1337</t>
  </si>
  <si>
    <t>BC_1338</t>
  </si>
  <si>
    <t>BC_1339</t>
  </si>
  <si>
    <t>BC_4373</t>
  </si>
  <si>
    <t>BC_4374</t>
  </si>
  <si>
    <t>BC_4376</t>
  </si>
  <si>
    <t>BC_4378</t>
  </si>
  <si>
    <t>95 km/h</t>
  </si>
  <si>
    <t>CBTC Beacon Depot</t>
  </si>
  <si>
    <t>BC_4379</t>
  </si>
  <si>
    <t>Obstruction - Dog</t>
  </si>
  <si>
    <t>Smoke</t>
  </si>
  <si>
    <t>Point_S1</t>
  </si>
  <si>
    <t>Point</t>
  </si>
  <si>
    <t>Main Line</t>
  </si>
  <si>
    <t>Point_S2</t>
  </si>
  <si>
    <t>Point_LEV2_North</t>
  </si>
  <si>
    <t>Point_LEV2_South</t>
  </si>
  <si>
    <t>Normal</t>
  </si>
  <si>
    <t>Violet</t>
  </si>
  <si>
    <t>M</t>
  </si>
  <si>
    <t>Off</t>
  </si>
  <si>
    <t>2A_Board_Start</t>
  </si>
  <si>
    <t>2A_Board_End</t>
  </si>
  <si>
    <t>2B_Board_Start</t>
  </si>
  <si>
    <t>2B_Board_End</t>
  </si>
  <si>
    <t>Neutral_Section_Warning_Board_Blue_500m</t>
  </si>
  <si>
    <t>Neutral_Section_Warning_Board_Blue_250m</t>
  </si>
  <si>
    <t>Neutral_Section_Warning_Board_White_500m</t>
  </si>
  <si>
    <t>Neutral_Section_Warning_Board_White_250m</t>
  </si>
  <si>
    <t>6C</t>
  </si>
  <si>
    <t>45 km/h</t>
  </si>
  <si>
    <t>Red</t>
  </si>
  <si>
    <t>Both</t>
  </si>
  <si>
    <t>Off Track</t>
  </si>
  <si>
    <t>Idle</t>
  </si>
  <si>
    <t>Broken Rail - Severe Break</t>
  </si>
  <si>
    <t>Broken Rail - Small Break</t>
  </si>
  <si>
    <t>PSR_50_DN_95 km/h</t>
  </si>
  <si>
    <t>PSR_19900_UP_95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</si>
</sst>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22"/>
      <name val="Arial"/>
      <family val="2"/>
    </font>
    <font>
      <sz val="10"/>
      <color indexed="57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9C6500"/>
      <name val="Arial"/>
      <family val="2"/>
    </font>
    <font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u/>
      <sz val="10"/>
      <color indexed="48"/>
      <name val="Arial"/>
      <family val="2"/>
    </font>
    <font>
      <sz val="11"/>
      <color rgb="FF006100"/>
      <name val="Arial"/>
      <family val="2"/>
    </font>
    <font>
      <b/>
      <sz val="8"/>
      <color rgb="FF172B4D"/>
      <name val="Segoe UI"/>
      <family val="2"/>
    </font>
    <font>
      <b/>
      <sz val="10"/>
      <color indexed="48"/>
      <name val="Arial"/>
      <family val="2"/>
    </font>
    <font>
      <sz val="8"/>
      <name val="Segoe UI"/>
      <family val="2"/>
    </font>
    <font>
      <sz val="8"/>
      <name val="Arial"/>
      <family val="2"/>
    </font>
    <font>
      <sz val="9"/>
      <color indexed="8"/>
      <name val="Calibri"/>
      <family val="2"/>
    </font>
    <font>
      <sz val="9"/>
      <color rgb="FF0061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22"/>
        <bgColor indexed="31"/>
      </patternFill>
    </fill>
    <fill>
      <patternFill patternType="solid">
        <fgColor indexed="4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8">
    <xf numFmtId="0" fontId="0" fillId="0" borderId="0"/>
    <xf numFmtId="0" fontId="5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0" fillId="2" borderId="0" applyNumberFormat="0" applyBorder="0" applyAlignment="0" applyProtection="0"/>
    <xf numFmtId="0" fontId="4" fillId="6" borderId="0" applyNumberFormat="0" applyFont="0" applyBorder="0" applyAlignment="0" applyProtection="0"/>
    <xf numFmtId="0" fontId="4" fillId="7" borderId="0" applyNumberFormat="0" applyFont="0" applyBorder="0" applyAlignment="0" applyProtection="0"/>
    <xf numFmtId="0" fontId="4" fillId="9" borderId="0" applyNumberFormat="0" applyFont="0" applyBorder="0" applyAlignment="0" applyProtection="0"/>
    <xf numFmtId="0" fontId="4" fillId="8" borderId="0" applyNumberFormat="0" applyFont="0" applyBorder="0" applyAlignment="0" applyProtection="0"/>
    <xf numFmtId="0" fontId="6" fillId="0" borderId="0" applyNumberFormat="0" applyFill="0" applyBorder="0" applyAlignment="0" applyProtection="0"/>
    <xf numFmtId="0" fontId="11" fillId="0" borderId="0"/>
    <xf numFmtId="0" fontId="4" fillId="0" borderId="0"/>
    <xf numFmtId="0" fontId="11" fillId="0" borderId="0"/>
    <xf numFmtId="0" fontId="11" fillId="5" borderId="2" applyNumberFormat="0" applyFont="0" applyAlignment="0" applyProtection="0"/>
    <xf numFmtId="0" fontId="3" fillId="0" borderId="0"/>
    <xf numFmtId="0" fontId="13" fillId="10" borderId="0" applyNumberFormat="0" applyBorder="0" applyAlignment="0" applyProtection="0"/>
    <xf numFmtId="0" fontId="14" fillId="12" borderId="0" applyNumberFormat="0" applyBorder="0" applyAlignment="0" applyProtection="0"/>
    <xf numFmtId="0" fontId="15" fillId="4" borderId="0" applyNumberFormat="0" applyBorder="0" applyAlignment="0" applyProtection="0"/>
    <xf numFmtId="0" fontId="4" fillId="0" borderId="0"/>
    <xf numFmtId="0" fontId="4" fillId="5" borderId="2" applyNumberFormat="0" applyFont="0" applyAlignment="0" applyProtection="0"/>
    <xf numFmtId="0" fontId="4" fillId="5" borderId="2" applyNumberFormat="0" applyFont="0" applyAlignment="0" applyProtection="0"/>
    <xf numFmtId="0" fontId="14" fillId="11" borderId="0" applyNumberFormat="0" applyBorder="0" applyAlignment="0" applyProtection="0"/>
    <xf numFmtId="0" fontId="4" fillId="6" borderId="0" applyNumberFormat="0" applyFont="0" applyBorder="0" applyAlignment="0" applyProtection="0"/>
    <xf numFmtId="0" fontId="2" fillId="0" borderId="0"/>
    <xf numFmtId="0" fontId="4" fillId="0" borderId="0"/>
    <xf numFmtId="0" fontId="16" fillId="0" borderId="0" applyNumberFormat="0" applyFill="0" applyBorder="0" applyAlignment="0" applyProtection="0"/>
    <xf numFmtId="0" fontId="1" fillId="0" borderId="0"/>
    <xf numFmtId="0" fontId="20" fillId="4" borderId="0" applyNumberFormat="0" applyBorder="0" applyAlignment="0" applyProtection="0"/>
    <xf numFmtId="0" fontId="15" fillId="4" borderId="0" applyNumberFormat="0" applyBorder="0" applyAlignment="0" applyProtection="0"/>
  </cellStyleXfs>
  <cellXfs count="62">
    <xf numFmtId="0" fontId="0" fillId="0" borderId="0" xfId="0"/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0" fillId="0" borderId="0" xfId="0" applyAlignment="1">
      <alignment horizontal="left"/>
    </xf>
    <xf numFmtId="0" fontId="9" fillId="0" borderId="0" xfId="0" applyFont="1"/>
    <xf numFmtId="0" fontId="8" fillId="0" borderId="0" xfId="0" applyFont="1"/>
    <xf numFmtId="22" fontId="0" fillId="0" borderId="0" xfId="0" applyNumberFormat="1" applyAlignment="1">
      <alignment horizontal="left"/>
    </xf>
    <xf numFmtId="0" fontId="8" fillId="0" borderId="0" xfId="17" applyFont="1"/>
    <xf numFmtId="0" fontId="4" fillId="0" borderId="0" xfId="17"/>
    <xf numFmtId="2" fontId="17" fillId="0" borderId="0" xfId="17" applyNumberFormat="1" applyFont="1"/>
    <xf numFmtId="0" fontId="17" fillId="0" borderId="0" xfId="17" applyFont="1"/>
    <xf numFmtId="0" fontId="0" fillId="0" borderId="0" xfId="17" applyFont="1"/>
    <xf numFmtId="164" fontId="0" fillId="0" borderId="0" xfId="17" applyNumberFormat="1" applyFont="1" applyAlignment="1">
      <alignment horizontal="center"/>
    </xf>
    <xf numFmtId="0" fontId="0" fillId="0" borderId="0" xfId="17" applyFont="1" applyAlignment="1">
      <alignment horizontal="center"/>
    </xf>
    <xf numFmtId="0" fontId="8" fillId="0" borderId="0" xfId="17" applyFont="1" applyAlignment="1">
      <alignment horizontal="center"/>
    </xf>
    <xf numFmtId="0" fontId="8" fillId="13" borderId="0" xfId="17" applyFont="1" applyFill="1"/>
    <xf numFmtId="2" fontId="18" fillId="13" borderId="0" xfId="17" applyNumberFormat="1" applyFont="1" applyFill="1"/>
    <xf numFmtId="0" fontId="18" fillId="13" borderId="0" xfId="17" applyFont="1" applyFill="1"/>
    <xf numFmtId="164" fontId="8" fillId="13" borderId="0" xfId="17" applyNumberFormat="1" applyFont="1" applyFill="1" applyAlignment="1">
      <alignment horizontal="center"/>
    </xf>
    <xf numFmtId="0" fontId="16" fillId="0" borderId="0" xfId="24"/>
    <xf numFmtId="0" fontId="8" fillId="13" borderId="0" xfId="17" applyFont="1" applyFill="1" applyAlignment="1">
      <alignment horizontal="center"/>
    </xf>
    <xf numFmtId="0" fontId="19" fillId="0" borderId="0" xfId="24" applyFont="1" applyAlignment="1">
      <alignment horizontal="center"/>
    </xf>
    <xf numFmtId="0" fontId="17" fillId="0" borderId="0" xfId="17" applyFont="1" applyAlignment="1">
      <alignment horizontal="center"/>
    </xf>
    <xf numFmtId="0" fontId="20" fillId="0" borderId="0" xfId="26" applyFill="1"/>
    <xf numFmtId="0" fontId="20" fillId="4" borderId="0" xfId="26"/>
    <xf numFmtId="0" fontId="21" fillId="0" borderId="0" xfId="0" applyFont="1"/>
    <xf numFmtId="0" fontId="16" fillId="4" borderId="0" xfId="24" applyFill="1"/>
    <xf numFmtId="164" fontId="20" fillId="4" borderId="0" xfId="26" applyNumberFormat="1"/>
    <xf numFmtId="0" fontId="20" fillId="4" borderId="0" xfId="26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17" applyAlignment="1">
      <alignment horizontal="center" vertical="center"/>
    </xf>
    <xf numFmtId="0" fontId="22" fillId="13" borderId="0" xfId="17" applyFont="1" applyFill="1" applyAlignment="1">
      <alignment horizontal="center" wrapText="1"/>
    </xf>
    <xf numFmtId="0" fontId="18" fillId="13" borderId="0" xfId="17" applyFont="1" applyFill="1" applyAlignment="1">
      <alignment horizontal="center" wrapText="1"/>
    </xf>
    <xf numFmtId="0" fontId="18" fillId="13" borderId="0" xfId="17" applyFont="1" applyFill="1" applyAlignment="1">
      <alignment horizontal="center"/>
    </xf>
    <xf numFmtId="0" fontId="23" fillId="0" borderId="0" xfId="0" applyFont="1"/>
    <xf numFmtId="2" fontId="0" fillId="0" borderId="0" xfId="0" applyNumberFormat="1"/>
    <xf numFmtId="0" fontId="5" fillId="0" borderId="0" xfId="0" applyFont="1" applyAlignment="1">
      <alignment horizontal="center" vertical="center"/>
    </xf>
    <xf numFmtId="0" fontId="10" fillId="2" borderId="0" xfId="3"/>
    <xf numFmtId="165" fontId="10" fillId="2" borderId="0" xfId="3" applyNumberFormat="1"/>
    <xf numFmtId="164" fontId="10" fillId="2" borderId="0" xfId="3" applyNumberFormat="1"/>
    <xf numFmtId="0" fontId="10" fillId="2" borderId="0" xfId="3" applyAlignment="1">
      <alignment horizontal="left"/>
    </xf>
    <xf numFmtId="0" fontId="10" fillId="2" borderId="0" xfId="3" applyNumberFormat="1" applyAlignment="1">
      <alignment horizontal="left"/>
    </xf>
    <xf numFmtId="0" fontId="10" fillId="2" borderId="0" xfId="3" applyAlignment="1">
      <alignment horizontal="center"/>
    </xf>
    <xf numFmtId="164" fontId="15" fillId="0" borderId="0" xfId="27" applyNumberFormat="1" applyFill="1"/>
    <xf numFmtId="0" fontId="24" fillId="0" borderId="0" xfId="0" applyFont="1"/>
    <xf numFmtId="0" fontId="25" fillId="2" borderId="0" xfId="3" applyFont="1"/>
    <xf numFmtId="0" fontId="25" fillId="2" borderId="0" xfId="3" applyFont="1" applyAlignment="1">
      <alignment horizontal="center" vertical="center"/>
    </xf>
    <xf numFmtId="0" fontId="26" fillId="0" borderId="0" xfId="27" applyFont="1" applyFill="1"/>
    <xf numFmtId="0" fontId="27" fillId="0" borderId="0" xfId="25" applyFont="1"/>
    <xf numFmtId="0" fontId="26" fillId="0" borderId="0" xfId="27" applyFont="1" applyFill="1" applyBorder="1"/>
    <xf numFmtId="0" fontId="8" fillId="14" borderId="0" xfId="17" applyFont="1" applyFill="1"/>
    <xf numFmtId="0" fontId="0" fillId="0" borderId="0" xfId="0" applyFill="1"/>
    <xf numFmtId="0" fontId="8" fillId="0" borderId="1" xfId="0" applyFont="1" applyFill="1" applyBorder="1"/>
    <xf numFmtId="0" fontId="9" fillId="0" borderId="0" xfId="0" applyFont="1" applyFill="1"/>
    <xf numFmtId="0" fontId="8" fillId="0" borderId="0" xfId="0" applyFont="1" applyFill="1"/>
    <xf numFmtId="0" fontId="8" fillId="0" borderId="0" xfId="17" applyFont="1" applyFill="1"/>
    <xf numFmtId="0" fontId="0" fillId="0" borderId="0" xfId="17" applyFont="1" applyFill="1"/>
    <xf numFmtId="0" fontId="23" fillId="0" borderId="0" xfId="0" applyFont="1" applyFill="1"/>
    <xf numFmtId="0" fontId="0" fillId="7" borderId="0" xfId="5" applyFont="1"/>
    <xf numFmtId="0" fontId="0" fillId="8" borderId="0" xfId="7" applyFont="1"/>
  </cellXfs>
  <cellStyles count="28">
    <cellStyle name="20% - Accent1 2" xfId="20" xr:uid="{DC7BC188-06D9-49F0-980C-3586487D0D7A}"/>
    <cellStyle name="40% - Accent1 2" xfId="15" xr:uid="{6A073492-FE49-49EB-958E-56F21BD6911F}"/>
    <cellStyle name="Auto" xfId="1" xr:uid="{00000000-0005-0000-0000-000000000000}"/>
    <cellStyle name="Bad 2" xfId="2" xr:uid="{00000000-0005-0000-0000-000001000000}"/>
    <cellStyle name="Excel_BuiltIn_40% - Accent1" xfId="3" xr:uid="{00000000-0005-0000-0000-000002000000}"/>
    <cellStyle name="FPT Auto" xfId="4" xr:uid="{F701A5B5-3B3D-4806-BCE9-1DF56E975002}"/>
    <cellStyle name="FPT Generated" xfId="5" xr:uid="{C71ED5A6-121D-4DEB-9651-4FF8A118D00A}"/>
    <cellStyle name="FPT Generated 2" xfId="21" xr:uid="{82D98AF3-DE8B-438B-A022-7BF1AA14D4E1}"/>
    <cellStyle name="FPT Information" xfId="6" xr:uid="{174F122B-6EC7-4A27-8F4E-EDB1E9B498B3}"/>
    <cellStyle name="FPT Modified" xfId="7" xr:uid="{D35A46AB-ABD5-471A-8565-213612704192}"/>
    <cellStyle name="Good" xfId="27" builtinId="26"/>
    <cellStyle name="Good 2" xfId="16" xr:uid="{733A102D-08B5-4255-A145-2B4575E43EDA}"/>
    <cellStyle name="Good 3" xfId="26" xr:uid="{E244567E-92CA-4F22-A051-7E8A6A71304B}"/>
    <cellStyle name="Hyperlink" xfId="24" builtinId="8"/>
    <cellStyle name="Info" xfId="8" xr:uid="{00000000-0005-0000-0000-00000A000000}"/>
    <cellStyle name="Neutral 2" xfId="14" xr:uid="{230A17F0-30F8-40FB-8F90-1A3075CC9D00}"/>
    <cellStyle name="Normal" xfId="0" builtinId="0"/>
    <cellStyle name="Normal 2" xfId="9" xr:uid="{00000000-0005-0000-0000-00000C000000}"/>
    <cellStyle name="Normal 2 2" xfId="17" xr:uid="{CD44D97E-781C-4C90-B3EE-31DC1E9504FA}"/>
    <cellStyle name="Normal 3" xfId="10" xr:uid="{00000000-0005-0000-0000-00000D000000}"/>
    <cellStyle name="Normal 3 2" xfId="11" xr:uid="{00000000-0005-0000-0000-00000E000000}"/>
    <cellStyle name="Normal 3 2 2" xfId="23" xr:uid="{C6273767-F5DE-4CE5-AF5B-EC969725515A}"/>
    <cellStyle name="Normal 4" xfId="13" xr:uid="{823D55F8-27FF-4780-AE73-86A42AB25439}"/>
    <cellStyle name="Normal 5 2 2" xfId="25" xr:uid="{A0942ACE-0D0D-4448-A20A-6A3A27DDE1EE}"/>
    <cellStyle name="Normal 9 2" xfId="22" xr:uid="{D60E2EEE-8F35-4A6D-821A-822E59C0B56C}"/>
    <cellStyle name="Note 2" xfId="12" xr:uid="{00000000-0005-0000-0000-00000F000000}"/>
    <cellStyle name="Note 2 2" xfId="18" xr:uid="{264A2D08-2FE1-4E4F-98A3-E948B6EEBF0E}"/>
    <cellStyle name="Note 3" xfId="19" xr:uid="{DCAA8EB6-93E3-4FBF-BFA2-FD6ECF887B87}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"/>
  <sheetViews>
    <sheetView workbookViewId="0"/>
  </sheetViews>
  <sheetFormatPr defaultColWidth="9.33203125" defaultRowHeight="13.2" x14ac:dyDescent="0.25"/>
  <cols>
    <col min="1" max="1" width="21.5546875" style="53" customWidth="1"/>
    <col min="3" max="3" width="10.33203125" bestFit="1" customWidth="1"/>
    <col min="4" max="4" width="24.6640625" customWidth="1"/>
  </cols>
  <sheetData>
    <row r="1" spans="1:4" ht="15.6" x14ac:dyDescent="0.3">
      <c r="B1" s="1" t="s">
        <v>0</v>
      </c>
    </row>
    <row r="2" spans="1:4" x14ac:dyDescent="0.25">
      <c r="A2" s="54" t="s">
        <v>1</v>
      </c>
      <c r="B2" s="2"/>
      <c r="C2" s="3" t="s">
        <v>2</v>
      </c>
      <c r="D2" s="3" t="s">
        <v>3</v>
      </c>
    </row>
    <row r="3" spans="1:4" x14ac:dyDescent="0.25">
      <c r="A3" s="53" t="s">
        <v>4</v>
      </c>
      <c r="B3" s="4"/>
      <c r="C3" t="s">
        <v>5</v>
      </c>
      <c r="D3" t="s">
        <v>30</v>
      </c>
    </row>
    <row r="4" spans="1:4" x14ac:dyDescent="0.25">
      <c r="A4" s="53" t="s">
        <v>4</v>
      </c>
      <c r="C4" t="s">
        <v>0</v>
      </c>
      <c r="D4" t="str">
        <f>D3</f>
        <v>Test_Features_Track</v>
      </c>
    </row>
    <row r="5" spans="1:4" x14ac:dyDescent="0.25">
      <c r="A5" s="53" t="s">
        <v>4</v>
      </c>
      <c r="C5" t="s">
        <v>13</v>
      </c>
      <c r="D5" s="7">
        <f ca="1">NOW()</f>
        <v>45065.490428124998</v>
      </c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2"/>
  <sheetViews>
    <sheetView workbookViewId="0"/>
  </sheetViews>
  <sheetFormatPr defaultColWidth="9.33203125" defaultRowHeight="13.2" x14ac:dyDescent="0.25"/>
  <cols>
    <col min="1" max="1" width="15.5546875" style="53" customWidth="1"/>
    <col min="3" max="3" width="11.33203125" customWidth="1"/>
  </cols>
  <sheetData>
    <row r="1" spans="1:4" ht="14.4" x14ac:dyDescent="0.3">
      <c r="A1" s="55" t="s">
        <v>1</v>
      </c>
      <c r="B1" s="5" t="s">
        <v>8</v>
      </c>
      <c r="C1" s="5" t="s">
        <v>9</v>
      </c>
      <c r="D1" s="5" t="s">
        <v>10</v>
      </c>
    </row>
    <row r="2" spans="1:4" x14ac:dyDescent="0.25">
      <c r="A2" s="53" t="s">
        <v>11</v>
      </c>
      <c r="C2" t="s">
        <v>7</v>
      </c>
      <c r="D2">
        <v>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F635-5BE8-42B7-9A6D-DFD3ABCB313C}">
  <sheetPr codeName="Sheet4"/>
  <dimension ref="A1"/>
  <sheetViews>
    <sheetView workbookViewId="0"/>
  </sheetViews>
  <sheetFormatPr defaultColWidth="9.33203125" defaultRowHeight="13.2" x14ac:dyDescent="0.25"/>
  <cols>
    <col min="1" max="1" width="9.33203125" style="53" customWidth="1"/>
    <col min="257" max="257" width="9.33203125" customWidth="1"/>
    <col min="513" max="513" width="9.33203125" customWidth="1"/>
    <col min="769" max="769" width="9.33203125" customWidth="1"/>
    <col min="1025" max="1025" width="9.33203125" customWidth="1"/>
    <col min="1281" max="1281" width="9.33203125" customWidth="1"/>
    <col min="1537" max="1537" width="9.33203125" customWidth="1"/>
    <col min="1793" max="1793" width="9.33203125" customWidth="1"/>
    <col min="2049" max="2049" width="9.33203125" customWidth="1"/>
    <col min="2305" max="2305" width="9.33203125" customWidth="1"/>
    <col min="2561" max="2561" width="9.33203125" customWidth="1"/>
    <col min="2817" max="2817" width="9.33203125" customWidth="1"/>
    <col min="3073" max="3073" width="9.33203125" customWidth="1"/>
    <col min="3329" max="3329" width="9.33203125" customWidth="1"/>
    <col min="3585" max="3585" width="9.33203125" customWidth="1"/>
    <col min="3841" max="3841" width="9.33203125" customWidth="1"/>
    <col min="4097" max="4097" width="9.33203125" customWidth="1"/>
    <col min="4353" max="4353" width="9.33203125" customWidth="1"/>
    <col min="4609" max="4609" width="9.33203125" customWidth="1"/>
    <col min="4865" max="4865" width="9.33203125" customWidth="1"/>
    <col min="5121" max="5121" width="9.33203125" customWidth="1"/>
    <col min="5377" max="5377" width="9.33203125" customWidth="1"/>
    <col min="5633" max="5633" width="9.33203125" customWidth="1"/>
    <col min="5889" max="5889" width="9.33203125" customWidth="1"/>
    <col min="6145" max="6145" width="9.33203125" customWidth="1"/>
    <col min="6401" max="6401" width="9.33203125" customWidth="1"/>
    <col min="6657" max="6657" width="9.33203125" customWidth="1"/>
    <col min="6913" max="6913" width="9.33203125" customWidth="1"/>
    <col min="7169" max="7169" width="9.33203125" customWidth="1"/>
    <col min="7425" max="7425" width="9.33203125" customWidth="1"/>
    <col min="7681" max="7681" width="9.33203125" customWidth="1"/>
    <col min="7937" max="7937" width="9.33203125" customWidth="1"/>
    <col min="8193" max="8193" width="9.33203125" customWidth="1"/>
    <col min="8449" max="8449" width="9.33203125" customWidth="1"/>
    <col min="8705" max="8705" width="9.33203125" customWidth="1"/>
    <col min="8961" max="8961" width="9.33203125" customWidth="1"/>
    <col min="9217" max="9217" width="9.33203125" customWidth="1"/>
    <col min="9473" max="9473" width="9.33203125" customWidth="1"/>
    <col min="9729" max="9729" width="9.33203125" customWidth="1"/>
    <col min="9985" max="9985" width="9.33203125" customWidth="1"/>
    <col min="10241" max="10241" width="9.33203125" customWidth="1"/>
    <col min="10497" max="10497" width="9.33203125" customWidth="1"/>
    <col min="10753" max="10753" width="9.33203125" customWidth="1"/>
    <col min="11009" max="11009" width="9.33203125" customWidth="1"/>
    <col min="11265" max="11265" width="9.33203125" customWidth="1"/>
    <col min="11521" max="11521" width="9.33203125" customWidth="1"/>
    <col min="11777" max="11777" width="9.33203125" customWidth="1"/>
    <col min="12033" max="12033" width="9.33203125" customWidth="1"/>
    <col min="12289" max="12289" width="9.33203125" customWidth="1"/>
    <col min="12545" max="12545" width="9.33203125" customWidth="1"/>
    <col min="12801" max="12801" width="9.33203125" customWidth="1"/>
    <col min="13057" max="13057" width="9.33203125" customWidth="1"/>
    <col min="13313" max="13313" width="9.33203125" customWidth="1"/>
    <col min="13569" max="13569" width="9.33203125" customWidth="1"/>
    <col min="13825" max="13825" width="9.33203125" customWidth="1"/>
    <col min="14081" max="14081" width="9.33203125" customWidth="1"/>
    <col min="14337" max="14337" width="9.33203125" customWidth="1"/>
    <col min="14593" max="14593" width="9.33203125" customWidth="1"/>
    <col min="14849" max="14849" width="9.33203125" customWidth="1"/>
    <col min="15105" max="15105" width="9.33203125" customWidth="1"/>
    <col min="15361" max="15361" width="9.33203125" customWidth="1"/>
    <col min="15617" max="15617" width="9.33203125" customWidth="1"/>
    <col min="15873" max="15873" width="9.33203125" customWidth="1"/>
    <col min="16129" max="16129" width="9.332031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1"/>
  <sheetViews>
    <sheetView workbookViewId="0"/>
  </sheetViews>
  <sheetFormatPr defaultColWidth="9.33203125" defaultRowHeight="13.2" x14ac:dyDescent="0.25"/>
  <cols>
    <col min="1" max="1" width="9.33203125" style="53"/>
    <col min="2" max="2" width="13.6640625" bestFit="1" customWidth="1"/>
    <col min="3" max="3" width="30.33203125" bestFit="1" customWidth="1"/>
  </cols>
  <sheetData>
    <row r="1" spans="2:3" s="6" customFormat="1" x14ac:dyDescent="0.25">
      <c r="B1" s="6" t="s">
        <v>12</v>
      </c>
      <c r="C1" s="6" t="s">
        <v>6</v>
      </c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47BB-FCE9-46B0-84C5-8C26542AC40D}">
  <dimension ref="A1:V381"/>
  <sheetViews>
    <sheetView topLeftCell="A16" workbookViewId="0">
      <selection activeCell="C32" sqref="C32:V34"/>
    </sheetView>
  </sheetViews>
  <sheetFormatPr defaultRowHeight="13.2" x14ac:dyDescent="0.25"/>
  <cols>
    <col min="1" max="1" width="8.88671875" style="53"/>
    <col min="3" max="4" width="27.33203125" bestFit="1" customWidth="1"/>
    <col min="6" max="6" width="15.109375" bestFit="1" customWidth="1"/>
    <col min="8" max="8" width="11.109375" bestFit="1" customWidth="1"/>
    <col min="13" max="13" width="15.109375" bestFit="1" customWidth="1"/>
    <col min="15" max="15" width="16" bestFit="1" customWidth="1"/>
  </cols>
  <sheetData>
    <row r="1" spans="1:22" s="6" customFormat="1" x14ac:dyDescent="0.25">
      <c r="A1" s="56"/>
      <c r="B1" s="6" t="s">
        <v>14</v>
      </c>
      <c r="C1" s="6" t="s">
        <v>2</v>
      </c>
      <c r="D1" s="6" t="s">
        <v>8</v>
      </c>
      <c r="E1" s="6" t="s">
        <v>31</v>
      </c>
      <c r="F1" s="6" t="s">
        <v>32</v>
      </c>
      <c r="G1" s="6" t="s">
        <v>16</v>
      </c>
      <c r="H1" s="6" t="s">
        <v>9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27</v>
      </c>
      <c r="N1" s="6" t="s">
        <v>33</v>
      </c>
      <c r="O1" s="6" t="s">
        <v>34</v>
      </c>
      <c r="P1" s="6" t="s">
        <v>35</v>
      </c>
      <c r="Q1" s="6" t="s">
        <v>19</v>
      </c>
      <c r="R1" s="6" t="s">
        <v>20</v>
      </c>
      <c r="S1" s="6" t="s">
        <v>36</v>
      </c>
      <c r="T1" s="6" t="s">
        <v>37</v>
      </c>
      <c r="U1" s="6" t="s">
        <v>38</v>
      </c>
      <c r="V1" s="6" t="s">
        <v>39</v>
      </c>
    </row>
    <row r="2" spans="1:22" x14ac:dyDescent="0.25">
      <c r="A2"/>
      <c r="B2">
        <v>1</v>
      </c>
      <c r="C2" t="s">
        <v>430</v>
      </c>
      <c r="D2" t="s">
        <v>431</v>
      </c>
      <c r="E2" t="s">
        <v>432</v>
      </c>
      <c r="Q2">
        <v>2100.00000894</v>
      </c>
      <c r="R2">
        <v>10</v>
      </c>
      <c r="S2">
        <v>1</v>
      </c>
      <c r="T2">
        <v>0</v>
      </c>
      <c r="U2">
        <v>0</v>
      </c>
      <c r="V2">
        <v>0</v>
      </c>
    </row>
    <row r="3" spans="1:22" x14ac:dyDescent="0.25">
      <c r="A3"/>
      <c r="B3">
        <v>2</v>
      </c>
      <c r="C3" t="s">
        <v>433</v>
      </c>
      <c r="D3" t="s">
        <v>431</v>
      </c>
      <c r="E3" t="s">
        <v>432</v>
      </c>
      <c r="Q3">
        <v>3099.9999957800001</v>
      </c>
      <c r="R3">
        <v>10</v>
      </c>
      <c r="S3">
        <v>1</v>
      </c>
      <c r="T3">
        <v>0</v>
      </c>
      <c r="U3">
        <v>0</v>
      </c>
      <c r="V3">
        <v>0</v>
      </c>
    </row>
    <row r="4" spans="1:22" x14ac:dyDescent="0.25">
      <c r="A4"/>
      <c r="B4">
        <v>3</v>
      </c>
      <c r="C4" t="s">
        <v>434</v>
      </c>
      <c r="D4" t="s">
        <v>431</v>
      </c>
      <c r="E4" t="s">
        <v>432</v>
      </c>
      <c r="Q4">
        <v>5200.00000542</v>
      </c>
      <c r="R4">
        <v>10</v>
      </c>
      <c r="S4">
        <v>1</v>
      </c>
      <c r="T4">
        <v>0</v>
      </c>
      <c r="U4">
        <v>0</v>
      </c>
      <c r="V4">
        <v>0</v>
      </c>
    </row>
    <row r="5" spans="1:22" x14ac:dyDescent="0.25">
      <c r="A5"/>
      <c r="B5">
        <v>4</v>
      </c>
      <c r="C5" t="s">
        <v>435</v>
      </c>
      <c r="D5" t="s">
        <v>431</v>
      </c>
      <c r="E5" t="s">
        <v>432</v>
      </c>
      <c r="Q5">
        <v>4199.9999946500002</v>
      </c>
      <c r="R5">
        <v>10</v>
      </c>
      <c r="S5">
        <v>1</v>
      </c>
      <c r="T5">
        <v>0</v>
      </c>
      <c r="U5">
        <v>0</v>
      </c>
      <c r="V5">
        <v>0</v>
      </c>
    </row>
    <row r="6" spans="1:22" x14ac:dyDescent="0.25">
      <c r="A6"/>
      <c r="B6">
        <v>10000</v>
      </c>
      <c r="C6" t="s">
        <v>46</v>
      </c>
      <c r="D6" t="s">
        <v>46</v>
      </c>
      <c r="E6" t="s">
        <v>95</v>
      </c>
      <c r="F6" t="s">
        <v>70</v>
      </c>
      <c r="G6">
        <v>500</v>
      </c>
      <c r="H6" t="s">
        <v>7</v>
      </c>
      <c r="I6">
        <v>0</v>
      </c>
      <c r="J6">
        <v>0</v>
      </c>
      <c r="K6">
        <v>0</v>
      </c>
      <c r="L6">
        <v>0</v>
      </c>
      <c r="M6" t="s">
        <v>70</v>
      </c>
      <c r="N6">
        <v>500</v>
      </c>
      <c r="O6" t="s">
        <v>7</v>
      </c>
      <c r="P6" t="b">
        <v>1</v>
      </c>
      <c r="Q6">
        <v>500</v>
      </c>
      <c r="R6">
        <v>10</v>
      </c>
      <c r="S6">
        <v>1</v>
      </c>
      <c r="T6">
        <v>0</v>
      </c>
      <c r="U6">
        <v>0</v>
      </c>
      <c r="V6">
        <v>0</v>
      </c>
    </row>
    <row r="7" spans="1:22" x14ac:dyDescent="0.25">
      <c r="A7"/>
      <c r="B7">
        <v>10001</v>
      </c>
      <c r="C7" t="s">
        <v>47</v>
      </c>
      <c r="D7" t="s">
        <v>47</v>
      </c>
      <c r="E7" t="s">
        <v>436</v>
      </c>
      <c r="F7" t="s">
        <v>70</v>
      </c>
      <c r="G7">
        <v>505</v>
      </c>
      <c r="H7" t="s">
        <v>7</v>
      </c>
      <c r="I7">
        <v>0</v>
      </c>
      <c r="J7">
        <v>0</v>
      </c>
      <c r="K7">
        <v>0</v>
      </c>
      <c r="L7">
        <v>0</v>
      </c>
      <c r="M7" t="s">
        <v>70</v>
      </c>
      <c r="N7">
        <v>505</v>
      </c>
      <c r="O7" t="s">
        <v>7</v>
      </c>
      <c r="P7" t="b">
        <v>1</v>
      </c>
      <c r="Q7">
        <v>505</v>
      </c>
      <c r="R7">
        <v>10</v>
      </c>
      <c r="S7">
        <v>1</v>
      </c>
      <c r="T7">
        <v>0</v>
      </c>
      <c r="U7">
        <v>0</v>
      </c>
      <c r="V7">
        <v>0</v>
      </c>
    </row>
    <row r="8" spans="1:22" x14ac:dyDescent="0.25">
      <c r="A8"/>
      <c r="B8">
        <v>10002</v>
      </c>
      <c r="C8" t="s">
        <v>48</v>
      </c>
      <c r="D8" t="s">
        <v>48</v>
      </c>
      <c r="E8" t="s">
        <v>437</v>
      </c>
      <c r="F8" t="s">
        <v>70</v>
      </c>
      <c r="G8">
        <v>510</v>
      </c>
      <c r="H8" t="s">
        <v>7</v>
      </c>
      <c r="I8">
        <v>3</v>
      </c>
      <c r="J8">
        <v>0</v>
      </c>
      <c r="K8">
        <v>0</v>
      </c>
      <c r="L8">
        <v>0</v>
      </c>
      <c r="M8" t="s">
        <v>70</v>
      </c>
      <c r="N8">
        <v>510</v>
      </c>
      <c r="O8" t="s">
        <v>7</v>
      </c>
      <c r="P8" t="b">
        <v>1</v>
      </c>
      <c r="Q8">
        <v>510</v>
      </c>
      <c r="R8">
        <v>7</v>
      </c>
      <c r="S8">
        <v>1</v>
      </c>
      <c r="T8">
        <v>0</v>
      </c>
      <c r="U8">
        <v>0</v>
      </c>
      <c r="V8">
        <v>0</v>
      </c>
    </row>
    <row r="9" spans="1:22" x14ac:dyDescent="0.25">
      <c r="A9"/>
      <c r="B9">
        <v>10003</v>
      </c>
      <c r="C9" t="s">
        <v>50</v>
      </c>
      <c r="D9" t="s">
        <v>50</v>
      </c>
      <c r="E9" t="s">
        <v>438</v>
      </c>
      <c r="F9" t="s">
        <v>70</v>
      </c>
      <c r="G9">
        <v>510</v>
      </c>
      <c r="H9" t="s">
        <v>7</v>
      </c>
      <c r="I9">
        <v>3</v>
      </c>
      <c r="J9">
        <v>3.8</v>
      </c>
      <c r="K9">
        <v>0</v>
      </c>
      <c r="L9">
        <v>0</v>
      </c>
      <c r="M9" t="s">
        <v>70</v>
      </c>
      <c r="N9">
        <v>510</v>
      </c>
      <c r="O9" t="s">
        <v>7</v>
      </c>
      <c r="P9" t="b">
        <v>1</v>
      </c>
      <c r="Q9">
        <v>510</v>
      </c>
      <c r="R9">
        <v>7</v>
      </c>
      <c r="S9">
        <v>4.8</v>
      </c>
      <c r="T9">
        <v>0</v>
      </c>
      <c r="U9">
        <v>0</v>
      </c>
      <c r="V9">
        <v>0</v>
      </c>
    </row>
    <row r="10" spans="1:22" x14ac:dyDescent="0.25">
      <c r="A10"/>
      <c r="B10">
        <v>10004</v>
      </c>
      <c r="C10" t="s">
        <v>49</v>
      </c>
      <c r="D10" t="s">
        <v>49</v>
      </c>
      <c r="E10" t="s">
        <v>437</v>
      </c>
      <c r="F10" t="s">
        <v>70</v>
      </c>
      <c r="G10">
        <v>515</v>
      </c>
      <c r="H10" t="s">
        <v>7</v>
      </c>
      <c r="I10">
        <v>3</v>
      </c>
      <c r="J10">
        <v>0</v>
      </c>
      <c r="K10">
        <v>0</v>
      </c>
      <c r="L10">
        <v>0</v>
      </c>
      <c r="M10" t="s">
        <v>70</v>
      </c>
      <c r="N10">
        <v>515</v>
      </c>
      <c r="O10" t="s">
        <v>7</v>
      </c>
      <c r="P10" t="b">
        <v>1</v>
      </c>
      <c r="Q10">
        <v>515</v>
      </c>
      <c r="R10">
        <v>7</v>
      </c>
      <c r="S10">
        <v>1</v>
      </c>
      <c r="T10">
        <v>0</v>
      </c>
      <c r="U10">
        <v>0</v>
      </c>
      <c r="V10">
        <v>0</v>
      </c>
    </row>
    <row r="11" spans="1:22" x14ac:dyDescent="0.25">
      <c r="A11"/>
      <c r="B11">
        <v>10005</v>
      </c>
      <c r="C11" t="s">
        <v>51</v>
      </c>
      <c r="D11" t="s">
        <v>51</v>
      </c>
      <c r="E11" t="s">
        <v>439</v>
      </c>
      <c r="F11" t="s">
        <v>70</v>
      </c>
      <c r="G11">
        <v>520</v>
      </c>
      <c r="H11" t="s">
        <v>7</v>
      </c>
      <c r="I11">
        <v>3</v>
      </c>
      <c r="J11">
        <v>0</v>
      </c>
      <c r="K11">
        <v>0</v>
      </c>
      <c r="L11">
        <v>0</v>
      </c>
      <c r="M11" t="s">
        <v>70</v>
      </c>
      <c r="N11">
        <v>520</v>
      </c>
      <c r="O11" t="s">
        <v>7</v>
      </c>
      <c r="P11" t="b">
        <v>1</v>
      </c>
      <c r="Q11">
        <v>520</v>
      </c>
      <c r="R11">
        <v>7</v>
      </c>
      <c r="S11">
        <v>1</v>
      </c>
      <c r="T11">
        <v>0</v>
      </c>
      <c r="U11">
        <v>0</v>
      </c>
      <c r="V11">
        <v>0</v>
      </c>
    </row>
    <row r="12" spans="1:22" x14ac:dyDescent="0.25">
      <c r="A12"/>
      <c r="B12">
        <v>10006</v>
      </c>
      <c r="C12" t="s">
        <v>52</v>
      </c>
      <c r="D12" t="s">
        <v>52</v>
      </c>
      <c r="E12" t="s">
        <v>439</v>
      </c>
      <c r="F12" t="s">
        <v>70</v>
      </c>
      <c r="G12">
        <v>510</v>
      </c>
      <c r="H12" t="s">
        <v>7</v>
      </c>
      <c r="I12">
        <v>3</v>
      </c>
      <c r="J12">
        <v>1.5</v>
      </c>
      <c r="K12">
        <v>0</v>
      </c>
      <c r="L12">
        <v>0</v>
      </c>
      <c r="M12" t="s">
        <v>70</v>
      </c>
      <c r="N12">
        <v>510</v>
      </c>
      <c r="O12" t="s">
        <v>7</v>
      </c>
      <c r="P12" t="b">
        <v>1</v>
      </c>
      <c r="Q12">
        <v>510</v>
      </c>
      <c r="R12">
        <v>7</v>
      </c>
      <c r="S12">
        <v>2.5</v>
      </c>
      <c r="T12">
        <v>0</v>
      </c>
      <c r="U12">
        <v>0</v>
      </c>
      <c r="V12">
        <v>0</v>
      </c>
    </row>
    <row r="13" spans="1:22" x14ac:dyDescent="0.25">
      <c r="A13"/>
      <c r="B13">
        <v>10007</v>
      </c>
      <c r="C13" t="s">
        <v>440</v>
      </c>
      <c r="D13" t="s">
        <v>53</v>
      </c>
      <c r="E13" t="s">
        <v>68</v>
      </c>
      <c r="F13" t="s">
        <v>70</v>
      </c>
      <c r="G13">
        <v>525</v>
      </c>
      <c r="H13" t="s">
        <v>7</v>
      </c>
      <c r="I13">
        <v>-3</v>
      </c>
      <c r="J13">
        <v>1</v>
      </c>
      <c r="K13">
        <v>0</v>
      </c>
      <c r="L13">
        <v>0</v>
      </c>
      <c r="M13" t="s">
        <v>70</v>
      </c>
      <c r="N13">
        <v>525</v>
      </c>
      <c r="O13" t="s">
        <v>7</v>
      </c>
      <c r="P13" t="b">
        <v>1</v>
      </c>
      <c r="Q13">
        <v>525</v>
      </c>
      <c r="R13">
        <v>13</v>
      </c>
      <c r="S13">
        <v>2</v>
      </c>
      <c r="T13">
        <v>0</v>
      </c>
      <c r="U13">
        <v>0</v>
      </c>
      <c r="V13">
        <v>0</v>
      </c>
    </row>
    <row r="14" spans="1:22" x14ac:dyDescent="0.25">
      <c r="A14"/>
      <c r="B14">
        <v>10008</v>
      </c>
      <c r="C14" t="s">
        <v>441</v>
      </c>
      <c r="D14" t="s">
        <v>53</v>
      </c>
      <c r="E14" t="s">
        <v>72</v>
      </c>
      <c r="F14" t="s">
        <v>70</v>
      </c>
      <c r="G14">
        <v>525</v>
      </c>
      <c r="H14" t="s">
        <v>7</v>
      </c>
      <c r="I14">
        <v>3</v>
      </c>
      <c r="J14">
        <v>1</v>
      </c>
      <c r="K14">
        <v>0</v>
      </c>
      <c r="L14">
        <v>0</v>
      </c>
      <c r="M14" t="s">
        <v>70</v>
      </c>
      <c r="N14">
        <v>525</v>
      </c>
      <c r="O14" t="s">
        <v>7</v>
      </c>
      <c r="P14" t="b">
        <v>1</v>
      </c>
      <c r="Q14">
        <v>525</v>
      </c>
      <c r="R14">
        <v>7</v>
      </c>
      <c r="S14">
        <v>2</v>
      </c>
      <c r="T14">
        <v>0</v>
      </c>
      <c r="U14">
        <v>0</v>
      </c>
      <c r="V14">
        <v>0</v>
      </c>
    </row>
    <row r="15" spans="1:22" x14ac:dyDescent="0.25">
      <c r="A15"/>
      <c r="B15">
        <v>10009</v>
      </c>
      <c r="C15" t="s">
        <v>442</v>
      </c>
      <c r="D15" t="s">
        <v>54</v>
      </c>
      <c r="E15" t="s">
        <v>68</v>
      </c>
      <c r="F15" t="s">
        <v>70</v>
      </c>
      <c r="G15">
        <v>530</v>
      </c>
      <c r="H15" t="s">
        <v>7</v>
      </c>
      <c r="I15">
        <v>-3</v>
      </c>
      <c r="J15">
        <v>1</v>
      </c>
      <c r="K15">
        <v>0</v>
      </c>
      <c r="L15">
        <v>0</v>
      </c>
      <c r="M15" t="s">
        <v>70</v>
      </c>
      <c r="N15">
        <v>530</v>
      </c>
      <c r="O15" t="s">
        <v>7</v>
      </c>
      <c r="P15" t="b">
        <v>1</v>
      </c>
      <c r="Q15">
        <v>530</v>
      </c>
      <c r="R15">
        <v>13</v>
      </c>
      <c r="S15">
        <v>2</v>
      </c>
      <c r="T15">
        <v>0</v>
      </c>
      <c r="U15">
        <v>0</v>
      </c>
      <c r="V15">
        <v>0</v>
      </c>
    </row>
    <row r="16" spans="1:22" x14ac:dyDescent="0.25">
      <c r="A16"/>
      <c r="B16">
        <v>10010</v>
      </c>
      <c r="C16" t="s">
        <v>443</v>
      </c>
      <c r="D16" t="s">
        <v>54</v>
      </c>
      <c r="E16" t="s">
        <v>72</v>
      </c>
      <c r="F16" t="s">
        <v>70</v>
      </c>
      <c r="G16">
        <v>530</v>
      </c>
      <c r="H16" t="s">
        <v>7</v>
      </c>
      <c r="I16">
        <v>3</v>
      </c>
      <c r="J16">
        <v>1</v>
      </c>
      <c r="K16">
        <v>0</v>
      </c>
      <c r="L16">
        <v>0</v>
      </c>
      <c r="M16" t="s">
        <v>70</v>
      </c>
      <c r="N16">
        <v>530</v>
      </c>
      <c r="O16" t="s">
        <v>7</v>
      </c>
      <c r="P16" t="b">
        <v>1</v>
      </c>
      <c r="Q16">
        <v>530</v>
      </c>
      <c r="R16">
        <v>7</v>
      </c>
      <c r="S16">
        <v>2</v>
      </c>
      <c r="T16">
        <v>0</v>
      </c>
      <c r="U16">
        <v>0</v>
      </c>
      <c r="V16">
        <v>0</v>
      </c>
    </row>
    <row r="17" spans="1:22" x14ac:dyDescent="0.25">
      <c r="A17"/>
      <c r="B17">
        <v>10011</v>
      </c>
      <c r="C17" t="s">
        <v>55</v>
      </c>
      <c r="D17" t="s">
        <v>55</v>
      </c>
      <c r="E17" t="s">
        <v>95</v>
      </c>
      <c r="F17" t="s">
        <v>70</v>
      </c>
      <c r="G17">
        <v>535</v>
      </c>
      <c r="H17" t="s">
        <v>7</v>
      </c>
      <c r="I17">
        <v>-3</v>
      </c>
      <c r="J17">
        <v>1</v>
      </c>
      <c r="K17">
        <v>0</v>
      </c>
      <c r="L17">
        <v>0</v>
      </c>
      <c r="M17" t="s">
        <v>70</v>
      </c>
      <c r="N17">
        <v>535</v>
      </c>
      <c r="O17" t="s">
        <v>7</v>
      </c>
      <c r="P17" t="b">
        <v>1</v>
      </c>
      <c r="Q17">
        <v>535</v>
      </c>
      <c r="R17">
        <v>13</v>
      </c>
      <c r="S17">
        <v>2</v>
      </c>
      <c r="T17">
        <v>0</v>
      </c>
      <c r="U17">
        <v>0</v>
      </c>
      <c r="V17">
        <v>0</v>
      </c>
    </row>
    <row r="18" spans="1:22" x14ac:dyDescent="0.25">
      <c r="A18"/>
      <c r="B18">
        <v>10012</v>
      </c>
      <c r="C18" t="s">
        <v>56</v>
      </c>
      <c r="D18" t="s">
        <v>56</v>
      </c>
      <c r="E18" t="s">
        <v>95</v>
      </c>
      <c r="F18" t="s">
        <v>70</v>
      </c>
      <c r="G18">
        <v>540</v>
      </c>
      <c r="H18" t="s">
        <v>7</v>
      </c>
      <c r="I18">
        <v>3</v>
      </c>
      <c r="J18">
        <v>1</v>
      </c>
      <c r="K18">
        <v>0</v>
      </c>
      <c r="L18">
        <v>0</v>
      </c>
      <c r="M18" t="s">
        <v>70</v>
      </c>
      <c r="N18">
        <v>540</v>
      </c>
      <c r="O18" t="s">
        <v>7</v>
      </c>
      <c r="P18" t="b">
        <v>1</v>
      </c>
      <c r="Q18">
        <v>540</v>
      </c>
      <c r="R18">
        <v>7</v>
      </c>
      <c r="S18">
        <v>2</v>
      </c>
      <c r="T18">
        <v>0</v>
      </c>
      <c r="U18">
        <v>0</v>
      </c>
      <c r="V18">
        <v>0</v>
      </c>
    </row>
    <row r="19" spans="1:22" x14ac:dyDescent="0.25">
      <c r="A19"/>
      <c r="B19">
        <v>10013</v>
      </c>
      <c r="C19" t="s">
        <v>57</v>
      </c>
      <c r="D19" t="s">
        <v>57</v>
      </c>
      <c r="E19" t="s">
        <v>95</v>
      </c>
      <c r="F19" t="s">
        <v>70</v>
      </c>
      <c r="G19">
        <v>545</v>
      </c>
      <c r="H19" t="s">
        <v>7</v>
      </c>
      <c r="I19">
        <v>0</v>
      </c>
      <c r="J19">
        <v>0</v>
      </c>
      <c r="K19">
        <v>0</v>
      </c>
      <c r="L19">
        <v>0</v>
      </c>
      <c r="M19" t="s">
        <v>70</v>
      </c>
      <c r="N19">
        <v>545</v>
      </c>
      <c r="O19" t="s">
        <v>7</v>
      </c>
      <c r="P19" t="b">
        <v>1</v>
      </c>
      <c r="Q19">
        <v>545</v>
      </c>
      <c r="R19">
        <v>10</v>
      </c>
      <c r="S19">
        <v>1</v>
      </c>
      <c r="T19">
        <v>0</v>
      </c>
      <c r="U19">
        <v>0</v>
      </c>
      <c r="V19">
        <v>0</v>
      </c>
    </row>
    <row r="20" spans="1:22" x14ac:dyDescent="0.25">
      <c r="A20"/>
      <c r="B20">
        <v>10014</v>
      </c>
      <c r="C20" t="s">
        <v>58</v>
      </c>
      <c r="D20" t="s">
        <v>58</v>
      </c>
      <c r="E20" t="s">
        <v>95</v>
      </c>
      <c r="F20" t="s">
        <v>70</v>
      </c>
      <c r="G20">
        <v>550</v>
      </c>
      <c r="H20" t="s">
        <v>7</v>
      </c>
      <c r="I20">
        <v>0</v>
      </c>
      <c r="J20">
        <v>0</v>
      </c>
      <c r="K20">
        <v>0</v>
      </c>
      <c r="L20">
        <v>0</v>
      </c>
      <c r="M20" t="s">
        <v>70</v>
      </c>
      <c r="N20">
        <v>550</v>
      </c>
      <c r="O20" t="s">
        <v>7</v>
      </c>
      <c r="P20" t="b">
        <v>1</v>
      </c>
      <c r="Q20">
        <v>550</v>
      </c>
      <c r="R20">
        <v>10</v>
      </c>
      <c r="S20">
        <v>1</v>
      </c>
      <c r="T20">
        <v>0</v>
      </c>
      <c r="U20">
        <v>0</v>
      </c>
      <c r="V20">
        <v>0</v>
      </c>
    </row>
    <row r="21" spans="1:22" x14ac:dyDescent="0.25">
      <c r="A21"/>
      <c r="B21">
        <v>10015</v>
      </c>
      <c r="C21" t="s">
        <v>59</v>
      </c>
      <c r="D21" t="s">
        <v>59</v>
      </c>
      <c r="E21" t="s">
        <v>68</v>
      </c>
      <c r="F21" t="s">
        <v>70</v>
      </c>
      <c r="G21">
        <v>555</v>
      </c>
      <c r="H21" t="s">
        <v>7</v>
      </c>
      <c r="I21">
        <v>3</v>
      </c>
      <c r="J21">
        <v>1</v>
      </c>
      <c r="K21">
        <v>0</v>
      </c>
      <c r="L21">
        <v>0</v>
      </c>
      <c r="M21" t="s">
        <v>70</v>
      </c>
      <c r="N21">
        <v>555</v>
      </c>
      <c r="O21" t="s">
        <v>7</v>
      </c>
      <c r="P21" t="b">
        <v>1</v>
      </c>
      <c r="Q21">
        <v>555</v>
      </c>
      <c r="R21">
        <v>7</v>
      </c>
      <c r="S21">
        <v>2</v>
      </c>
      <c r="T21">
        <v>0</v>
      </c>
      <c r="U21">
        <v>0</v>
      </c>
      <c r="V21">
        <v>0</v>
      </c>
    </row>
    <row r="22" spans="1:22" x14ac:dyDescent="0.25">
      <c r="A22"/>
      <c r="B22">
        <v>10016</v>
      </c>
      <c r="C22" t="s">
        <v>60</v>
      </c>
      <c r="D22" t="s">
        <v>60</v>
      </c>
      <c r="E22" t="s">
        <v>68</v>
      </c>
      <c r="F22" t="s">
        <v>70</v>
      </c>
      <c r="G22">
        <v>560</v>
      </c>
      <c r="H22" t="s">
        <v>7</v>
      </c>
      <c r="I22">
        <v>3</v>
      </c>
      <c r="J22">
        <v>1</v>
      </c>
      <c r="K22">
        <v>0</v>
      </c>
      <c r="L22">
        <v>0</v>
      </c>
      <c r="M22" t="s">
        <v>70</v>
      </c>
      <c r="N22">
        <v>560</v>
      </c>
      <c r="O22" t="s">
        <v>7</v>
      </c>
      <c r="P22" t="b">
        <v>1</v>
      </c>
      <c r="Q22">
        <v>560</v>
      </c>
      <c r="R22">
        <v>7</v>
      </c>
      <c r="S22">
        <v>2</v>
      </c>
      <c r="T22">
        <v>0</v>
      </c>
      <c r="U22">
        <v>0</v>
      </c>
      <c r="V22">
        <v>0</v>
      </c>
    </row>
    <row r="23" spans="1:22" x14ac:dyDescent="0.25">
      <c r="A23"/>
      <c r="B23">
        <v>10017</v>
      </c>
      <c r="C23" t="s">
        <v>444</v>
      </c>
      <c r="D23" t="s">
        <v>61</v>
      </c>
      <c r="E23" t="s">
        <v>73</v>
      </c>
      <c r="F23" t="s">
        <v>70</v>
      </c>
      <c r="G23">
        <v>565</v>
      </c>
      <c r="H23" t="s">
        <v>7</v>
      </c>
      <c r="I23">
        <v>-3</v>
      </c>
      <c r="J23">
        <v>1</v>
      </c>
      <c r="K23">
        <v>0</v>
      </c>
      <c r="L23">
        <v>0</v>
      </c>
      <c r="M23" t="s">
        <v>70</v>
      </c>
      <c r="N23">
        <v>565</v>
      </c>
      <c r="O23" t="s">
        <v>7</v>
      </c>
      <c r="P23" t="b">
        <v>1</v>
      </c>
      <c r="Q23">
        <v>565</v>
      </c>
      <c r="R23">
        <v>13</v>
      </c>
      <c r="S23">
        <v>2</v>
      </c>
      <c r="T23">
        <v>0</v>
      </c>
      <c r="U23">
        <v>0</v>
      </c>
      <c r="V23">
        <v>0</v>
      </c>
    </row>
    <row r="24" spans="1:22" x14ac:dyDescent="0.25">
      <c r="A24"/>
      <c r="B24">
        <v>10018</v>
      </c>
      <c r="C24" t="s">
        <v>445</v>
      </c>
      <c r="D24" t="s">
        <v>61</v>
      </c>
      <c r="E24" t="s">
        <v>69</v>
      </c>
      <c r="F24" t="s">
        <v>70</v>
      </c>
      <c r="G24">
        <v>565</v>
      </c>
      <c r="H24" t="s">
        <v>7</v>
      </c>
      <c r="I24">
        <v>3</v>
      </c>
      <c r="J24">
        <v>1</v>
      </c>
      <c r="K24">
        <v>0</v>
      </c>
      <c r="L24">
        <v>0</v>
      </c>
      <c r="M24" t="s">
        <v>70</v>
      </c>
      <c r="N24">
        <v>565</v>
      </c>
      <c r="O24" t="s">
        <v>7</v>
      </c>
      <c r="P24" t="b">
        <v>1</v>
      </c>
      <c r="Q24">
        <v>565</v>
      </c>
      <c r="R24">
        <v>7</v>
      </c>
      <c r="S24">
        <v>2</v>
      </c>
      <c r="T24">
        <v>0</v>
      </c>
      <c r="U24">
        <v>0</v>
      </c>
      <c r="V24">
        <v>0</v>
      </c>
    </row>
    <row r="25" spans="1:22" x14ac:dyDescent="0.25">
      <c r="A25"/>
      <c r="B25">
        <v>10019</v>
      </c>
      <c r="C25" t="s">
        <v>446</v>
      </c>
      <c r="D25" t="s">
        <v>62</v>
      </c>
      <c r="E25" t="s">
        <v>73</v>
      </c>
      <c r="F25" t="s">
        <v>70</v>
      </c>
      <c r="G25">
        <v>570</v>
      </c>
      <c r="H25" t="s">
        <v>7</v>
      </c>
      <c r="I25">
        <v>-3</v>
      </c>
      <c r="J25">
        <v>1</v>
      </c>
      <c r="K25">
        <v>0</v>
      </c>
      <c r="L25">
        <v>0</v>
      </c>
      <c r="M25" t="s">
        <v>70</v>
      </c>
      <c r="N25">
        <v>570</v>
      </c>
      <c r="O25" t="s">
        <v>7</v>
      </c>
      <c r="P25" t="b">
        <v>1</v>
      </c>
      <c r="Q25">
        <v>570</v>
      </c>
      <c r="R25">
        <v>13</v>
      </c>
      <c r="S25">
        <v>2</v>
      </c>
      <c r="T25">
        <v>0</v>
      </c>
      <c r="U25">
        <v>0</v>
      </c>
      <c r="V25">
        <v>0</v>
      </c>
    </row>
    <row r="26" spans="1:22" x14ac:dyDescent="0.25">
      <c r="A26"/>
      <c r="B26">
        <v>10020</v>
      </c>
      <c r="C26" t="s">
        <v>447</v>
      </c>
      <c r="D26" t="s">
        <v>62</v>
      </c>
      <c r="E26" t="s">
        <v>69</v>
      </c>
      <c r="F26" t="s">
        <v>70</v>
      </c>
      <c r="G26">
        <v>570</v>
      </c>
      <c r="H26" t="s">
        <v>7</v>
      </c>
      <c r="I26">
        <v>3</v>
      </c>
      <c r="J26">
        <v>1</v>
      </c>
      <c r="K26">
        <v>0</v>
      </c>
      <c r="L26">
        <v>0</v>
      </c>
      <c r="M26" t="s">
        <v>70</v>
      </c>
      <c r="N26">
        <v>570</v>
      </c>
      <c r="O26" t="s">
        <v>7</v>
      </c>
      <c r="P26" t="b">
        <v>1</v>
      </c>
      <c r="Q26">
        <v>570</v>
      </c>
      <c r="R26">
        <v>7</v>
      </c>
      <c r="S26">
        <v>2</v>
      </c>
      <c r="T26">
        <v>0</v>
      </c>
      <c r="U26">
        <v>0</v>
      </c>
      <c r="V26">
        <v>0</v>
      </c>
    </row>
    <row r="27" spans="1:22" x14ac:dyDescent="0.25">
      <c r="A27"/>
      <c r="B27">
        <v>10021</v>
      </c>
      <c r="C27" t="s">
        <v>63</v>
      </c>
      <c r="D27" t="s">
        <v>63</v>
      </c>
      <c r="E27" t="s">
        <v>448</v>
      </c>
      <c r="F27" t="s">
        <v>70</v>
      </c>
      <c r="G27">
        <v>575</v>
      </c>
      <c r="H27" t="s">
        <v>7</v>
      </c>
      <c r="I27">
        <v>3</v>
      </c>
      <c r="J27">
        <v>1</v>
      </c>
      <c r="K27">
        <v>0</v>
      </c>
      <c r="L27">
        <v>0</v>
      </c>
      <c r="M27" t="s">
        <v>70</v>
      </c>
      <c r="N27">
        <v>575</v>
      </c>
      <c r="O27" t="s">
        <v>7</v>
      </c>
      <c r="P27" t="b">
        <v>1</v>
      </c>
      <c r="Q27">
        <v>575</v>
      </c>
      <c r="R27">
        <v>7</v>
      </c>
      <c r="S27">
        <v>2</v>
      </c>
      <c r="T27">
        <v>0</v>
      </c>
      <c r="U27">
        <v>0</v>
      </c>
      <c r="V27">
        <v>0</v>
      </c>
    </row>
    <row r="28" spans="1:22" x14ac:dyDescent="0.25">
      <c r="A28"/>
      <c r="B28">
        <v>10022</v>
      </c>
      <c r="C28" t="s">
        <v>64</v>
      </c>
      <c r="D28" t="s">
        <v>64</v>
      </c>
      <c r="E28" t="s">
        <v>95</v>
      </c>
      <c r="F28" t="s">
        <v>70</v>
      </c>
      <c r="G28">
        <v>580</v>
      </c>
      <c r="H28" t="s">
        <v>7</v>
      </c>
      <c r="I28">
        <v>3</v>
      </c>
      <c r="J28">
        <v>1</v>
      </c>
      <c r="K28">
        <v>0</v>
      </c>
      <c r="L28">
        <v>0</v>
      </c>
      <c r="M28" t="s">
        <v>70</v>
      </c>
      <c r="N28">
        <v>580</v>
      </c>
      <c r="O28" t="s">
        <v>7</v>
      </c>
      <c r="P28" t="b">
        <v>1</v>
      </c>
      <c r="Q28">
        <v>580</v>
      </c>
      <c r="R28">
        <v>7</v>
      </c>
      <c r="S28">
        <v>2</v>
      </c>
      <c r="T28">
        <v>0</v>
      </c>
      <c r="U28">
        <v>0</v>
      </c>
      <c r="V28">
        <v>0</v>
      </c>
    </row>
    <row r="29" spans="1:22" x14ac:dyDescent="0.25">
      <c r="A29"/>
      <c r="B29">
        <v>10023</v>
      </c>
      <c r="C29" t="s">
        <v>65</v>
      </c>
      <c r="D29" t="s">
        <v>65</v>
      </c>
      <c r="E29" t="s">
        <v>449</v>
      </c>
      <c r="F29" t="s">
        <v>70</v>
      </c>
      <c r="G29">
        <v>585</v>
      </c>
      <c r="H29" t="s">
        <v>7</v>
      </c>
      <c r="I29">
        <v>3</v>
      </c>
      <c r="J29">
        <v>1</v>
      </c>
      <c r="K29">
        <v>0</v>
      </c>
      <c r="L29">
        <v>0</v>
      </c>
      <c r="M29" t="s">
        <v>70</v>
      </c>
      <c r="N29">
        <v>585</v>
      </c>
      <c r="O29" t="s">
        <v>7</v>
      </c>
      <c r="P29" t="b">
        <v>1</v>
      </c>
      <c r="Q29">
        <v>585</v>
      </c>
      <c r="R29">
        <v>7</v>
      </c>
      <c r="S29">
        <v>2</v>
      </c>
      <c r="T29">
        <v>0</v>
      </c>
      <c r="U29">
        <v>0</v>
      </c>
      <c r="V29">
        <v>0</v>
      </c>
    </row>
    <row r="30" spans="1:22" x14ac:dyDescent="0.25">
      <c r="A30"/>
      <c r="B30">
        <v>10024</v>
      </c>
      <c r="C30" t="s">
        <v>66</v>
      </c>
      <c r="D30" t="s">
        <v>66</v>
      </c>
      <c r="E30" t="s">
        <v>448</v>
      </c>
      <c r="F30" t="s">
        <v>70</v>
      </c>
      <c r="G30">
        <v>590</v>
      </c>
      <c r="H30" t="s">
        <v>7</v>
      </c>
      <c r="I30">
        <v>3</v>
      </c>
      <c r="J30">
        <v>1</v>
      </c>
      <c r="K30">
        <v>0</v>
      </c>
      <c r="L30">
        <v>0</v>
      </c>
      <c r="M30" t="s">
        <v>70</v>
      </c>
      <c r="N30">
        <v>590</v>
      </c>
      <c r="O30" t="s">
        <v>7</v>
      </c>
      <c r="P30" t="b">
        <v>1</v>
      </c>
      <c r="Q30">
        <v>590</v>
      </c>
      <c r="R30">
        <v>7</v>
      </c>
      <c r="S30">
        <v>2</v>
      </c>
      <c r="T30">
        <v>0</v>
      </c>
      <c r="U30">
        <v>0</v>
      </c>
      <c r="V30">
        <v>0</v>
      </c>
    </row>
    <row r="31" spans="1:22" x14ac:dyDescent="0.25">
      <c r="A31"/>
      <c r="B31">
        <v>10025</v>
      </c>
      <c r="C31" t="s">
        <v>67</v>
      </c>
      <c r="D31" t="s">
        <v>67</v>
      </c>
      <c r="E31" t="s">
        <v>95</v>
      </c>
      <c r="F31" t="s">
        <v>70</v>
      </c>
      <c r="G31">
        <v>595</v>
      </c>
      <c r="H31" t="s">
        <v>7</v>
      </c>
      <c r="I31">
        <v>3</v>
      </c>
      <c r="J31">
        <v>1</v>
      </c>
      <c r="K31">
        <v>0</v>
      </c>
      <c r="L31">
        <v>0</v>
      </c>
      <c r="M31" t="s">
        <v>70</v>
      </c>
      <c r="N31">
        <v>595</v>
      </c>
      <c r="O31" t="s">
        <v>7</v>
      </c>
      <c r="P31" t="b">
        <v>1</v>
      </c>
      <c r="Q31">
        <v>595</v>
      </c>
      <c r="R31">
        <v>7</v>
      </c>
      <c r="S31">
        <v>2</v>
      </c>
      <c r="T31">
        <v>0</v>
      </c>
      <c r="U31">
        <v>0</v>
      </c>
      <c r="V31">
        <v>0</v>
      </c>
    </row>
    <row r="32" spans="1:22" x14ac:dyDescent="0.25">
      <c r="A32"/>
      <c r="B32">
        <v>10026</v>
      </c>
      <c r="C32" t="s">
        <v>78</v>
      </c>
      <c r="D32" t="s">
        <v>78</v>
      </c>
      <c r="F32" t="s">
        <v>70</v>
      </c>
      <c r="G32">
        <v>600</v>
      </c>
      <c r="H32" t="s">
        <v>7</v>
      </c>
      <c r="I32">
        <v>3</v>
      </c>
      <c r="J32">
        <v>1</v>
      </c>
      <c r="K32">
        <v>0</v>
      </c>
      <c r="L32">
        <v>0</v>
      </c>
      <c r="M32" t="s">
        <v>70</v>
      </c>
      <c r="N32">
        <v>600</v>
      </c>
      <c r="O32" t="s">
        <v>7</v>
      </c>
      <c r="P32" t="b">
        <v>1</v>
      </c>
      <c r="Q32">
        <v>600</v>
      </c>
      <c r="R32">
        <v>7</v>
      </c>
      <c r="S32">
        <v>2</v>
      </c>
      <c r="T32">
        <v>0</v>
      </c>
      <c r="U32">
        <v>0</v>
      </c>
      <c r="V32">
        <v>0</v>
      </c>
    </row>
    <row r="33" spans="1:22" x14ac:dyDescent="0.25">
      <c r="A33"/>
      <c r="B33">
        <v>10027</v>
      </c>
      <c r="C33" t="s">
        <v>80</v>
      </c>
      <c r="D33" t="s">
        <v>80</v>
      </c>
      <c r="E33" t="s">
        <v>95</v>
      </c>
      <c r="F33" t="s">
        <v>70</v>
      </c>
      <c r="G33">
        <v>605</v>
      </c>
      <c r="H33" t="s">
        <v>7</v>
      </c>
      <c r="I33">
        <v>3</v>
      </c>
      <c r="J33">
        <v>1</v>
      </c>
      <c r="K33">
        <v>0</v>
      </c>
      <c r="L33">
        <v>0</v>
      </c>
      <c r="M33" t="s">
        <v>70</v>
      </c>
      <c r="N33">
        <v>605</v>
      </c>
      <c r="O33" t="s">
        <v>7</v>
      </c>
      <c r="P33" t="b">
        <v>1</v>
      </c>
      <c r="Q33">
        <v>605</v>
      </c>
      <c r="R33">
        <v>7</v>
      </c>
      <c r="S33">
        <v>2</v>
      </c>
      <c r="T33">
        <v>0</v>
      </c>
      <c r="U33">
        <v>0</v>
      </c>
      <c r="V33">
        <v>0</v>
      </c>
    </row>
    <row r="34" spans="1:22" x14ac:dyDescent="0.25">
      <c r="A34"/>
      <c r="B34">
        <v>10028</v>
      </c>
      <c r="C34" t="s">
        <v>79</v>
      </c>
      <c r="D34" t="s">
        <v>79</v>
      </c>
      <c r="E34" t="s">
        <v>95</v>
      </c>
      <c r="F34" t="s">
        <v>70</v>
      </c>
      <c r="G34">
        <v>610</v>
      </c>
      <c r="H34" t="s">
        <v>7</v>
      </c>
      <c r="I34">
        <v>3</v>
      </c>
      <c r="J34">
        <v>1</v>
      </c>
      <c r="K34">
        <v>0</v>
      </c>
      <c r="L34">
        <v>0</v>
      </c>
      <c r="M34" t="s">
        <v>70</v>
      </c>
      <c r="N34">
        <v>610</v>
      </c>
      <c r="O34" t="s">
        <v>7</v>
      </c>
      <c r="P34" t="b">
        <v>1</v>
      </c>
      <c r="Q34">
        <v>610</v>
      </c>
      <c r="R34">
        <v>7</v>
      </c>
      <c r="S34">
        <v>2</v>
      </c>
      <c r="T34">
        <v>0</v>
      </c>
      <c r="U34">
        <v>0</v>
      </c>
      <c r="V34">
        <v>0</v>
      </c>
    </row>
    <row r="35" spans="1:22" x14ac:dyDescent="0.25">
      <c r="A35"/>
      <c r="B35">
        <v>10029</v>
      </c>
      <c r="C35" t="s">
        <v>81</v>
      </c>
      <c r="D35" t="s">
        <v>82</v>
      </c>
      <c r="E35" t="s">
        <v>450</v>
      </c>
      <c r="F35" t="s">
        <v>70</v>
      </c>
      <c r="G35">
        <v>810</v>
      </c>
      <c r="H35" t="s">
        <v>7</v>
      </c>
      <c r="I35">
        <v>0</v>
      </c>
      <c r="J35">
        <v>0</v>
      </c>
      <c r="K35">
        <v>180</v>
      </c>
      <c r="L35">
        <v>0</v>
      </c>
      <c r="M35" t="s">
        <v>70</v>
      </c>
      <c r="N35">
        <v>810</v>
      </c>
      <c r="O35" t="s">
        <v>7</v>
      </c>
      <c r="P35" t="b">
        <v>1</v>
      </c>
      <c r="Q35">
        <v>810</v>
      </c>
      <c r="R35">
        <v>10</v>
      </c>
      <c r="S35">
        <v>1</v>
      </c>
      <c r="T35">
        <v>-180</v>
      </c>
      <c r="U35">
        <v>0</v>
      </c>
      <c r="V35">
        <v>0</v>
      </c>
    </row>
    <row r="36" spans="1:22" x14ac:dyDescent="0.25">
      <c r="A36"/>
      <c r="B36">
        <v>10030</v>
      </c>
      <c r="C36" t="s">
        <v>83</v>
      </c>
      <c r="D36" t="s">
        <v>83</v>
      </c>
      <c r="E36" t="s">
        <v>95</v>
      </c>
      <c r="F36" t="s">
        <v>70</v>
      </c>
      <c r="G36">
        <v>820</v>
      </c>
      <c r="H36" t="s">
        <v>451</v>
      </c>
      <c r="I36">
        <v>0</v>
      </c>
      <c r="J36">
        <v>0</v>
      </c>
      <c r="K36">
        <v>0</v>
      </c>
      <c r="L36">
        <v>0</v>
      </c>
      <c r="M36" t="s">
        <v>70</v>
      </c>
      <c r="N36">
        <v>820</v>
      </c>
      <c r="O36" t="s">
        <v>451</v>
      </c>
      <c r="P36" t="b">
        <v>1</v>
      </c>
      <c r="Q36">
        <v>820</v>
      </c>
      <c r="R36">
        <v>10</v>
      </c>
      <c r="S36">
        <v>1</v>
      </c>
      <c r="T36">
        <v>0</v>
      </c>
      <c r="U36">
        <v>0</v>
      </c>
      <c r="V36">
        <v>0</v>
      </c>
    </row>
    <row r="37" spans="1:22" x14ac:dyDescent="0.25">
      <c r="A37"/>
      <c r="B37">
        <v>10031</v>
      </c>
      <c r="C37" t="s">
        <v>84</v>
      </c>
      <c r="D37" t="s">
        <v>84</v>
      </c>
      <c r="E37" t="s">
        <v>452</v>
      </c>
      <c r="F37" t="s">
        <v>70</v>
      </c>
      <c r="G37">
        <v>830</v>
      </c>
      <c r="H37" t="s">
        <v>451</v>
      </c>
      <c r="I37">
        <v>2</v>
      </c>
      <c r="J37">
        <v>0</v>
      </c>
      <c r="K37">
        <v>0</v>
      </c>
      <c r="L37">
        <v>0</v>
      </c>
      <c r="M37" t="s">
        <v>70</v>
      </c>
      <c r="N37">
        <v>830</v>
      </c>
      <c r="O37" t="s">
        <v>451</v>
      </c>
      <c r="P37" t="b">
        <v>1</v>
      </c>
      <c r="Q37">
        <v>830</v>
      </c>
      <c r="R37">
        <v>8</v>
      </c>
      <c r="S37">
        <v>1</v>
      </c>
      <c r="T37">
        <v>0</v>
      </c>
      <c r="U37">
        <v>0</v>
      </c>
      <c r="V37">
        <v>0</v>
      </c>
    </row>
    <row r="38" spans="1:22" x14ac:dyDescent="0.25">
      <c r="A38"/>
      <c r="B38">
        <v>10032</v>
      </c>
      <c r="C38" t="s">
        <v>85</v>
      </c>
      <c r="D38" t="s">
        <v>85</v>
      </c>
      <c r="E38" t="s">
        <v>452</v>
      </c>
      <c r="F38" t="s">
        <v>70</v>
      </c>
      <c r="G38">
        <v>840</v>
      </c>
      <c r="H38" t="s">
        <v>451</v>
      </c>
      <c r="I38">
        <v>2</v>
      </c>
      <c r="J38">
        <v>0</v>
      </c>
      <c r="K38">
        <v>0</v>
      </c>
      <c r="L38">
        <v>0</v>
      </c>
      <c r="M38" t="s">
        <v>70</v>
      </c>
      <c r="N38">
        <v>840</v>
      </c>
      <c r="O38" t="s">
        <v>451</v>
      </c>
      <c r="P38" t="b">
        <v>1</v>
      </c>
      <c r="Q38">
        <v>840</v>
      </c>
      <c r="R38">
        <v>8</v>
      </c>
      <c r="S38">
        <v>1</v>
      </c>
      <c r="T38">
        <v>0</v>
      </c>
      <c r="U38">
        <v>0</v>
      </c>
      <c r="V38">
        <v>0</v>
      </c>
    </row>
    <row r="39" spans="1:22" x14ac:dyDescent="0.25">
      <c r="A39"/>
      <c r="B39">
        <v>10033</v>
      </c>
      <c r="C39" t="s">
        <v>86</v>
      </c>
      <c r="D39" t="s">
        <v>86</v>
      </c>
      <c r="E39" t="s">
        <v>452</v>
      </c>
      <c r="F39" t="s">
        <v>70</v>
      </c>
      <c r="G39">
        <v>850</v>
      </c>
      <c r="H39" t="s">
        <v>451</v>
      </c>
      <c r="I39">
        <v>2</v>
      </c>
      <c r="J39">
        <v>0</v>
      </c>
      <c r="K39">
        <v>0</v>
      </c>
      <c r="L39">
        <v>0</v>
      </c>
      <c r="M39" t="s">
        <v>70</v>
      </c>
      <c r="N39">
        <v>850</v>
      </c>
      <c r="O39" t="s">
        <v>451</v>
      </c>
      <c r="P39" t="b">
        <v>1</v>
      </c>
      <c r="Q39">
        <v>850</v>
      </c>
      <c r="R39">
        <v>8</v>
      </c>
      <c r="S39">
        <v>1</v>
      </c>
      <c r="T39">
        <v>0</v>
      </c>
      <c r="U39">
        <v>0</v>
      </c>
      <c r="V39">
        <v>0</v>
      </c>
    </row>
    <row r="40" spans="1:22" x14ac:dyDescent="0.25">
      <c r="A40"/>
      <c r="B40">
        <v>10034</v>
      </c>
      <c r="C40" t="s">
        <v>87</v>
      </c>
      <c r="D40" t="s">
        <v>87</v>
      </c>
      <c r="E40" t="s">
        <v>95</v>
      </c>
      <c r="F40" t="s">
        <v>70</v>
      </c>
      <c r="G40">
        <v>860</v>
      </c>
      <c r="H40" t="s">
        <v>451</v>
      </c>
      <c r="I40">
        <v>0</v>
      </c>
      <c r="J40">
        <v>0</v>
      </c>
      <c r="K40">
        <v>0</v>
      </c>
      <c r="L40">
        <v>0</v>
      </c>
      <c r="M40" t="s">
        <v>70</v>
      </c>
      <c r="N40">
        <v>860</v>
      </c>
      <c r="O40" t="s">
        <v>451</v>
      </c>
      <c r="P40" t="b">
        <v>1</v>
      </c>
      <c r="Q40">
        <v>860</v>
      </c>
      <c r="R40">
        <v>10</v>
      </c>
      <c r="S40">
        <v>1</v>
      </c>
      <c r="T40">
        <v>0</v>
      </c>
      <c r="U40">
        <v>0</v>
      </c>
      <c r="V40">
        <v>0</v>
      </c>
    </row>
    <row r="41" spans="1:22" x14ac:dyDescent="0.25">
      <c r="A41"/>
      <c r="B41">
        <v>10035</v>
      </c>
      <c r="C41" t="s">
        <v>88</v>
      </c>
      <c r="D41" t="s">
        <v>88</v>
      </c>
      <c r="E41" t="s">
        <v>95</v>
      </c>
      <c r="F41" t="s">
        <v>70</v>
      </c>
      <c r="G41">
        <v>870</v>
      </c>
      <c r="H41" t="s">
        <v>451</v>
      </c>
      <c r="I41">
        <v>0</v>
      </c>
      <c r="J41">
        <v>0</v>
      </c>
      <c r="K41">
        <v>0</v>
      </c>
      <c r="L41">
        <v>0</v>
      </c>
      <c r="M41" t="s">
        <v>70</v>
      </c>
      <c r="N41">
        <v>870</v>
      </c>
      <c r="O41" t="s">
        <v>451</v>
      </c>
      <c r="P41" t="b">
        <v>1</v>
      </c>
      <c r="Q41">
        <v>870</v>
      </c>
      <c r="R41">
        <v>10</v>
      </c>
      <c r="S41">
        <v>1</v>
      </c>
      <c r="T41">
        <v>0</v>
      </c>
      <c r="U41">
        <v>0</v>
      </c>
      <c r="V41">
        <v>0</v>
      </c>
    </row>
    <row r="42" spans="1:22" x14ac:dyDescent="0.25">
      <c r="A42"/>
      <c r="B42">
        <v>10036</v>
      </c>
      <c r="C42" t="s">
        <v>89</v>
      </c>
      <c r="D42" t="s">
        <v>89</v>
      </c>
      <c r="E42" t="s">
        <v>453</v>
      </c>
      <c r="F42" t="s">
        <v>70</v>
      </c>
      <c r="G42">
        <v>880</v>
      </c>
      <c r="H42" t="s">
        <v>451</v>
      </c>
      <c r="I42">
        <v>0</v>
      </c>
      <c r="J42">
        <v>0</v>
      </c>
      <c r="K42">
        <v>0</v>
      </c>
      <c r="L42">
        <v>0</v>
      </c>
      <c r="M42" t="s">
        <v>70</v>
      </c>
      <c r="N42">
        <v>880</v>
      </c>
      <c r="O42" t="s">
        <v>451</v>
      </c>
      <c r="P42" t="b">
        <v>1</v>
      </c>
      <c r="Q42">
        <v>880</v>
      </c>
      <c r="R42">
        <v>10</v>
      </c>
      <c r="S42">
        <v>1</v>
      </c>
      <c r="T42">
        <v>0</v>
      </c>
      <c r="U42">
        <v>0</v>
      </c>
      <c r="V42">
        <v>0</v>
      </c>
    </row>
    <row r="43" spans="1:22" x14ac:dyDescent="0.25">
      <c r="A43"/>
      <c r="B43">
        <v>10037</v>
      </c>
      <c r="C43" t="s">
        <v>454</v>
      </c>
      <c r="D43" t="s">
        <v>90</v>
      </c>
      <c r="E43" t="s">
        <v>98</v>
      </c>
      <c r="F43" t="s">
        <v>70</v>
      </c>
      <c r="G43">
        <v>890</v>
      </c>
      <c r="H43" t="s">
        <v>451</v>
      </c>
      <c r="I43">
        <v>0</v>
      </c>
      <c r="J43">
        <v>0</v>
      </c>
      <c r="K43">
        <v>0</v>
      </c>
      <c r="L43">
        <v>0</v>
      </c>
      <c r="M43" t="s">
        <v>70</v>
      </c>
      <c r="N43">
        <v>890</v>
      </c>
      <c r="O43" t="s">
        <v>451</v>
      </c>
      <c r="P43" t="b">
        <v>1</v>
      </c>
      <c r="Q43">
        <v>890</v>
      </c>
      <c r="R43">
        <v>10</v>
      </c>
      <c r="S43">
        <v>1</v>
      </c>
      <c r="T43">
        <v>0</v>
      </c>
      <c r="U43">
        <v>0</v>
      </c>
      <c r="V43">
        <v>0</v>
      </c>
    </row>
    <row r="44" spans="1:22" x14ac:dyDescent="0.25">
      <c r="A44"/>
      <c r="B44">
        <v>10038</v>
      </c>
      <c r="C44" t="s">
        <v>91</v>
      </c>
      <c r="D44" t="s">
        <v>91</v>
      </c>
      <c r="E44" t="s">
        <v>95</v>
      </c>
      <c r="F44" t="s">
        <v>70</v>
      </c>
      <c r="G44">
        <v>900</v>
      </c>
      <c r="H44" t="s">
        <v>451</v>
      </c>
      <c r="I44">
        <v>0</v>
      </c>
      <c r="J44">
        <v>1</v>
      </c>
      <c r="K44">
        <v>0</v>
      </c>
      <c r="L44">
        <v>0</v>
      </c>
      <c r="M44" t="s">
        <v>70</v>
      </c>
      <c r="N44">
        <v>900</v>
      </c>
      <c r="O44" t="s">
        <v>451</v>
      </c>
      <c r="P44" t="b">
        <v>1</v>
      </c>
      <c r="Q44">
        <v>900</v>
      </c>
      <c r="R44">
        <v>10</v>
      </c>
      <c r="S44">
        <v>2</v>
      </c>
      <c r="T44">
        <v>0</v>
      </c>
      <c r="U44">
        <v>0</v>
      </c>
      <c r="V44">
        <v>0</v>
      </c>
    </row>
    <row r="45" spans="1:22" x14ac:dyDescent="0.25">
      <c r="A45"/>
      <c r="B45">
        <v>10039</v>
      </c>
      <c r="C45" t="s">
        <v>92</v>
      </c>
      <c r="D45" t="s">
        <v>92</v>
      </c>
      <c r="E45" t="s">
        <v>95</v>
      </c>
      <c r="F45" t="s">
        <v>70</v>
      </c>
      <c r="G45">
        <v>910</v>
      </c>
      <c r="H45" t="s">
        <v>451</v>
      </c>
      <c r="I45">
        <v>0</v>
      </c>
      <c r="J45">
        <v>2</v>
      </c>
      <c r="K45">
        <v>0</v>
      </c>
      <c r="L45">
        <v>0</v>
      </c>
      <c r="M45" t="s">
        <v>70</v>
      </c>
      <c r="N45">
        <v>910</v>
      </c>
      <c r="O45" t="s">
        <v>451</v>
      </c>
      <c r="P45" t="b">
        <v>1</v>
      </c>
      <c r="Q45">
        <v>910</v>
      </c>
      <c r="R45">
        <v>10</v>
      </c>
      <c r="S45">
        <v>3</v>
      </c>
      <c r="T45">
        <v>0</v>
      </c>
      <c r="U45">
        <v>0</v>
      </c>
      <c r="V45">
        <v>0</v>
      </c>
    </row>
    <row r="46" spans="1:22" x14ac:dyDescent="0.25">
      <c r="A46"/>
      <c r="B46">
        <v>10040</v>
      </c>
      <c r="C46" t="s">
        <v>93</v>
      </c>
      <c r="D46" t="s">
        <v>93</v>
      </c>
      <c r="E46" t="s">
        <v>95</v>
      </c>
      <c r="F46" t="s">
        <v>70</v>
      </c>
      <c r="G46">
        <v>920</v>
      </c>
      <c r="H46" t="s">
        <v>451</v>
      </c>
      <c r="I46">
        <v>0</v>
      </c>
      <c r="J46">
        <v>1</v>
      </c>
      <c r="K46">
        <v>0</v>
      </c>
      <c r="L46">
        <v>0</v>
      </c>
      <c r="M46" t="s">
        <v>70</v>
      </c>
      <c r="N46">
        <v>920</v>
      </c>
      <c r="O46" t="s">
        <v>451</v>
      </c>
      <c r="P46" t="b">
        <v>1</v>
      </c>
      <c r="Q46">
        <v>920</v>
      </c>
      <c r="R46">
        <v>10</v>
      </c>
      <c r="S46">
        <v>2</v>
      </c>
      <c r="T46">
        <v>0</v>
      </c>
      <c r="U46">
        <v>0</v>
      </c>
      <c r="V46">
        <v>0</v>
      </c>
    </row>
    <row r="47" spans="1:22" x14ac:dyDescent="0.25">
      <c r="A47"/>
      <c r="B47">
        <v>10043</v>
      </c>
      <c r="C47" t="s">
        <v>94</v>
      </c>
      <c r="D47" t="s">
        <v>94</v>
      </c>
      <c r="E47" t="s">
        <v>453</v>
      </c>
      <c r="F47" t="s">
        <v>70</v>
      </c>
      <c r="G47">
        <v>930</v>
      </c>
      <c r="H47" t="s">
        <v>451</v>
      </c>
      <c r="I47">
        <v>0</v>
      </c>
      <c r="J47">
        <v>0</v>
      </c>
      <c r="K47">
        <v>0</v>
      </c>
      <c r="L47">
        <v>0</v>
      </c>
      <c r="M47" t="s">
        <v>70</v>
      </c>
      <c r="N47">
        <v>930</v>
      </c>
      <c r="O47" t="s">
        <v>451</v>
      </c>
      <c r="P47" t="b">
        <v>1</v>
      </c>
      <c r="Q47">
        <v>930</v>
      </c>
      <c r="R47">
        <v>10</v>
      </c>
      <c r="S47">
        <v>1</v>
      </c>
      <c r="T47">
        <v>0</v>
      </c>
      <c r="U47">
        <v>0</v>
      </c>
      <c r="V47">
        <v>0</v>
      </c>
    </row>
    <row r="48" spans="1:22" x14ac:dyDescent="0.25">
      <c r="A48"/>
      <c r="B48">
        <v>10045</v>
      </c>
      <c r="C48" t="s">
        <v>96</v>
      </c>
      <c r="D48" t="s">
        <v>96</v>
      </c>
      <c r="E48" t="s">
        <v>95</v>
      </c>
      <c r="F48" t="s">
        <v>70</v>
      </c>
      <c r="G48">
        <v>940</v>
      </c>
      <c r="H48" t="s">
        <v>451</v>
      </c>
      <c r="I48">
        <v>0</v>
      </c>
      <c r="J48">
        <v>0</v>
      </c>
      <c r="K48">
        <v>0</v>
      </c>
      <c r="L48">
        <v>0</v>
      </c>
      <c r="M48" t="s">
        <v>70</v>
      </c>
      <c r="N48">
        <v>940</v>
      </c>
      <c r="O48" t="s">
        <v>451</v>
      </c>
      <c r="P48" t="b">
        <v>1</v>
      </c>
      <c r="Q48">
        <v>940</v>
      </c>
      <c r="R48">
        <v>10</v>
      </c>
      <c r="S48">
        <v>1</v>
      </c>
      <c r="T48">
        <v>0</v>
      </c>
      <c r="U48">
        <v>0</v>
      </c>
      <c r="V48">
        <v>0</v>
      </c>
    </row>
    <row r="49" spans="1:22" x14ac:dyDescent="0.25">
      <c r="A49"/>
      <c r="B49">
        <v>10046</v>
      </c>
      <c r="C49" t="s">
        <v>455</v>
      </c>
      <c r="D49" t="s">
        <v>90</v>
      </c>
      <c r="E49" t="s">
        <v>99</v>
      </c>
      <c r="F49" t="s">
        <v>70</v>
      </c>
      <c r="G49">
        <v>900</v>
      </c>
      <c r="H49" t="s">
        <v>451</v>
      </c>
      <c r="I49">
        <v>0</v>
      </c>
      <c r="J49">
        <v>0</v>
      </c>
      <c r="K49">
        <v>0</v>
      </c>
      <c r="L49">
        <v>0</v>
      </c>
      <c r="M49" t="s">
        <v>70</v>
      </c>
      <c r="N49">
        <v>900</v>
      </c>
      <c r="O49" t="s">
        <v>451</v>
      </c>
      <c r="P49" t="b">
        <v>1</v>
      </c>
      <c r="Q49">
        <v>900</v>
      </c>
      <c r="R49">
        <v>10</v>
      </c>
      <c r="S49">
        <v>1</v>
      </c>
      <c r="T49">
        <v>0</v>
      </c>
      <c r="U49">
        <v>0</v>
      </c>
      <c r="V49">
        <v>0</v>
      </c>
    </row>
    <row r="50" spans="1:22" x14ac:dyDescent="0.25">
      <c r="A50"/>
      <c r="B50">
        <v>10047</v>
      </c>
      <c r="C50" t="s">
        <v>100</v>
      </c>
      <c r="D50" t="s">
        <v>100</v>
      </c>
      <c r="E50" t="s">
        <v>95</v>
      </c>
      <c r="F50" t="s">
        <v>70</v>
      </c>
      <c r="G50">
        <v>950</v>
      </c>
      <c r="H50" t="s">
        <v>451</v>
      </c>
      <c r="I50">
        <v>0</v>
      </c>
      <c r="J50">
        <v>0</v>
      </c>
      <c r="K50">
        <v>0</v>
      </c>
      <c r="L50">
        <v>0</v>
      </c>
      <c r="M50" t="s">
        <v>70</v>
      </c>
      <c r="N50">
        <v>950</v>
      </c>
      <c r="O50" t="s">
        <v>451</v>
      </c>
      <c r="P50" t="b">
        <v>1</v>
      </c>
      <c r="Q50">
        <v>950</v>
      </c>
      <c r="R50">
        <v>10</v>
      </c>
      <c r="S50">
        <v>1</v>
      </c>
      <c r="T50">
        <v>0</v>
      </c>
      <c r="U50">
        <v>0</v>
      </c>
      <c r="V50">
        <v>0</v>
      </c>
    </row>
    <row r="51" spans="1:22" x14ac:dyDescent="0.25">
      <c r="A51"/>
      <c r="B51">
        <v>10048</v>
      </c>
      <c r="C51" t="s">
        <v>428</v>
      </c>
      <c r="D51" t="s">
        <v>428</v>
      </c>
      <c r="E51" t="s">
        <v>452</v>
      </c>
      <c r="F51" t="s">
        <v>70</v>
      </c>
      <c r="G51">
        <v>960</v>
      </c>
      <c r="H51" t="s">
        <v>451</v>
      </c>
      <c r="I51">
        <v>0</v>
      </c>
      <c r="J51">
        <v>0</v>
      </c>
      <c r="K51">
        <v>0</v>
      </c>
      <c r="L51">
        <v>0</v>
      </c>
      <c r="M51" t="s">
        <v>70</v>
      </c>
      <c r="N51">
        <v>960</v>
      </c>
      <c r="O51" t="s">
        <v>451</v>
      </c>
      <c r="P51" t="b">
        <v>1</v>
      </c>
      <c r="Q51">
        <v>960</v>
      </c>
      <c r="R51">
        <v>10</v>
      </c>
      <c r="S51">
        <v>1</v>
      </c>
      <c r="T51">
        <v>0</v>
      </c>
      <c r="U51">
        <v>0</v>
      </c>
      <c r="V51">
        <v>0</v>
      </c>
    </row>
    <row r="52" spans="1:22" x14ac:dyDescent="0.25">
      <c r="A52"/>
      <c r="B52">
        <v>10049</v>
      </c>
      <c r="C52" t="s">
        <v>429</v>
      </c>
      <c r="D52" t="s">
        <v>429</v>
      </c>
      <c r="E52" t="s">
        <v>95</v>
      </c>
      <c r="F52" t="s">
        <v>70</v>
      </c>
      <c r="G52">
        <v>970</v>
      </c>
      <c r="H52" t="s">
        <v>451</v>
      </c>
      <c r="I52">
        <v>0</v>
      </c>
      <c r="J52">
        <v>0</v>
      </c>
      <c r="K52">
        <v>0</v>
      </c>
      <c r="L52">
        <v>0</v>
      </c>
      <c r="M52" t="s">
        <v>70</v>
      </c>
      <c r="N52">
        <v>970</v>
      </c>
      <c r="O52" t="s">
        <v>451</v>
      </c>
      <c r="P52" t="b">
        <v>1</v>
      </c>
      <c r="Q52">
        <v>970</v>
      </c>
      <c r="R52">
        <v>10</v>
      </c>
      <c r="S52">
        <v>1</v>
      </c>
      <c r="T52">
        <v>0</v>
      </c>
      <c r="U52">
        <v>0</v>
      </c>
      <c r="V52">
        <v>0</v>
      </c>
    </row>
    <row r="53" spans="1:22" x14ac:dyDescent="0.25">
      <c r="A53"/>
      <c r="B53">
        <v>11000</v>
      </c>
      <c r="C53" t="s">
        <v>456</v>
      </c>
      <c r="D53" t="s">
        <v>65</v>
      </c>
      <c r="E53" t="s">
        <v>425</v>
      </c>
      <c r="F53" t="s">
        <v>101</v>
      </c>
      <c r="G53">
        <v>50</v>
      </c>
      <c r="H53" t="s">
        <v>451</v>
      </c>
      <c r="I53">
        <v>-2.5</v>
      </c>
      <c r="J53">
        <v>0</v>
      </c>
      <c r="K53">
        <v>0</v>
      </c>
      <c r="L53">
        <v>0</v>
      </c>
      <c r="M53" t="s">
        <v>101</v>
      </c>
      <c r="N53">
        <v>50</v>
      </c>
      <c r="O53" t="s">
        <v>451</v>
      </c>
      <c r="P53" t="b">
        <v>1</v>
      </c>
      <c r="Q53">
        <v>49.99997500001875</v>
      </c>
      <c r="R53">
        <v>502.5</v>
      </c>
      <c r="S53">
        <v>1.0499999750000188</v>
      </c>
      <c r="T53">
        <v>0</v>
      </c>
      <c r="U53">
        <v>0</v>
      </c>
      <c r="V53">
        <v>0</v>
      </c>
    </row>
    <row r="54" spans="1:22" x14ac:dyDescent="0.25">
      <c r="A54"/>
      <c r="B54">
        <v>11001</v>
      </c>
      <c r="C54" t="s">
        <v>457</v>
      </c>
      <c r="D54" t="s">
        <v>65</v>
      </c>
      <c r="E54" t="s">
        <v>425</v>
      </c>
      <c r="F54" t="s">
        <v>101</v>
      </c>
      <c r="G54">
        <v>19900</v>
      </c>
      <c r="H54" t="s">
        <v>451</v>
      </c>
      <c r="I54">
        <v>-2.5</v>
      </c>
      <c r="J54">
        <v>0</v>
      </c>
      <c r="K54">
        <v>0</v>
      </c>
      <c r="L54">
        <v>0</v>
      </c>
      <c r="M54" t="s">
        <v>101</v>
      </c>
      <c r="N54">
        <v>19900</v>
      </c>
      <c r="O54" t="s">
        <v>451</v>
      </c>
      <c r="P54" t="b">
        <v>0</v>
      </c>
      <c r="Q54">
        <v>19899.990050007462</v>
      </c>
      <c r="R54">
        <v>497.5</v>
      </c>
      <c r="S54">
        <v>20.89999005000746</v>
      </c>
      <c r="T54">
        <v>-180</v>
      </c>
      <c r="U54">
        <v>0</v>
      </c>
      <c r="V54">
        <v>0</v>
      </c>
    </row>
    <row r="55" spans="1:22" x14ac:dyDescent="0.25">
      <c r="A55"/>
      <c r="B55">
        <v>11002</v>
      </c>
      <c r="C55" t="s">
        <v>102</v>
      </c>
      <c r="D55" t="s">
        <v>47</v>
      </c>
      <c r="E55" t="s">
        <v>436</v>
      </c>
      <c r="F55" t="s">
        <v>101</v>
      </c>
      <c r="G55">
        <v>55.53</v>
      </c>
      <c r="H55" t="s">
        <v>451</v>
      </c>
      <c r="I55">
        <v>0</v>
      </c>
      <c r="J55">
        <v>0</v>
      </c>
      <c r="K55">
        <v>0</v>
      </c>
      <c r="L55">
        <v>0</v>
      </c>
      <c r="M55" t="s">
        <v>101</v>
      </c>
      <c r="N55">
        <v>55.53</v>
      </c>
      <c r="O55" t="s">
        <v>451</v>
      </c>
      <c r="P55" t="b">
        <v>1</v>
      </c>
      <c r="Q55">
        <v>55.529972235020821</v>
      </c>
      <c r="R55">
        <v>500</v>
      </c>
      <c r="S55">
        <v>1.0555299722350209</v>
      </c>
      <c r="T55">
        <v>0</v>
      </c>
      <c r="U55">
        <v>0</v>
      </c>
      <c r="V55">
        <v>0</v>
      </c>
    </row>
    <row r="56" spans="1:22" x14ac:dyDescent="0.25">
      <c r="A56"/>
      <c r="B56">
        <v>11003</v>
      </c>
      <c r="C56" t="s">
        <v>103</v>
      </c>
      <c r="D56" t="s">
        <v>47</v>
      </c>
      <c r="E56" t="s">
        <v>436</v>
      </c>
      <c r="F56" t="s">
        <v>101</v>
      </c>
      <c r="G56">
        <v>81.849999999999895</v>
      </c>
      <c r="H56" t="s">
        <v>451</v>
      </c>
      <c r="I56">
        <v>0</v>
      </c>
      <c r="J56">
        <v>0</v>
      </c>
      <c r="K56">
        <v>0</v>
      </c>
      <c r="L56">
        <v>0</v>
      </c>
      <c r="M56" t="s">
        <v>101</v>
      </c>
      <c r="N56">
        <v>81.849999999999895</v>
      </c>
      <c r="O56" t="s">
        <v>451</v>
      </c>
      <c r="P56" t="b">
        <v>1</v>
      </c>
      <c r="Q56">
        <v>81.849959075030583</v>
      </c>
      <c r="R56">
        <v>500</v>
      </c>
      <c r="S56">
        <v>1.0818499590750306</v>
      </c>
      <c r="T56">
        <v>0</v>
      </c>
      <c r="U56">
        <v>0</v>
      </c>
      <c r="V56">
        <v>0</v>
      </c>
    </row>
    <row r="57" spans="1:22" x14ac:dyDescent="0.25">
      <c r="A57"/>
      <c r="B57">
        <v>11004</v>
      </c>
      <c r="C57" t="s">
        <v>104</v>
      </c>
      <c r="D57" t="s">
        <v>47</v>
      </c>
      <c r="E57" t="s">
        <v>436</v>
      </c>
      <c r="F57" t="s">
        <v>101</v>
      </c>
      <c r="G57">
        <v>149.56</v>
      </c>
      <c r="H57" t="s">
        <v>451</v>
      </c>
      <c r="I57">
        <v>0</v>
      </c>
      <c r="J57">
        <v>0</v>
      </c>
      <c r="K57">
        <v>0</v>
      </c>
      <c r="L57">
        <v>0</v>
      </c>
      <c r="M57" t="s">
        <v>101</v>
      </c>
      <c r="N57">
        <v>149.56</v>
      </c>
      <c r="O57" t="s">
        <v>451</v>
      </c>
      <c r="P57" t="b">
        <v>1</v>
      </c>
      <c r="Q57">
        <v>149.55992522005607</v>
      </c>
      <c r="R57">
        <v>500</v>
      </c>
      <c r="S57">
        <v>1.1495599252200561</v>
      </c>
      <c r="T57">
        <v>0</v>
      </c>
      <c r="U57">
        <v>0</v>
      </c>
      <c r="V57">
        <v>0</v>
      </c>
    </row>
    <row r="58" spans="1:22" x14ac:dyDescent="0.25">
      <c r="A58"/>
      <c r="B58">
        <v>11005</v>
      </c>
      <c r="C58" t="s">
        <v>105</v>
      </c>
      <c r="D58" t="s">
        <v>47</v>
      </c>
      <c r="E58" t="s">
        <v>436</v>
      </c>
      <c r="F58" t="s">
        <v>101</v>
      </c>
      <c r="G58">
        <v>177.969999999999</v>
      </c>
      <c r="H58" t="s">
        <v>451</v>
      </c>
      <c r="I58">
        <v>0</v>
      </c>
      <c r="J58">
        <v>0</v>
      </c>
      <c r="K58">
        <v>0</v>
      </c>
      <c r="L58">
        <v>0</v>
      </c>
      <c r="M58" t="s">
        <v>101</v>
      </c>
      <c r="N58">
        <v>177.969999999999</v>
      </c>
      <c r="O58" t="s">
        <v>451</v>
      </c>
      <c r="P58" t="b">
        <v>1</v>
      </c>
      <c r="Q58">
        <v>177.96991101506575</v>
      </c>
      <c r="R58">
        <v>500</v>
      </c>
      <c r="S58">
        <v>1.1779699110150657</v>
      </c>
      <c r="T58">
        <v>0</v>
      </c>
      <c r="U58">
        <v>0</v>
      </c>
      <c r="V58">
        <v>0</v>
      </c>
    </row>
    <row r="59" spans="1:22" x14ac:dyDescent="0.25">
      <c r="A59"/>
      <c r="B59">
        <v>11006</v>
      </c>
      <c r="C59" t="s">
        <v>106</v>
      </c>
      <c r="D59" t="s">
        <v>47</v>
      </c>
      <c r="E59" t="s">
        <v>436</v>
      </c>
      <c r="F59" t="s">
        <v>101</v>
      </c>
      <c r="G59">
        <v>223.81</v>
      </c>
      <c r="H59" t="s">
        <v>451</v>
      </c>
      <c r="I59">
        <v>0</v>
      </c>
      <c r="J59">
        <v>0</v>
      </c>
      <c r="K59">
        <v>0</v>
      </c>
      <c r="L59">
        <v>0</v>
      </c>
      <c r="M59" t="s">
        <v>101</v>
      </c>
      <c r="N59">
        <v>223.81</v>
      </c>
      <c r="O59" t="s">
        <v>451</v>
      </c>
      <c r="P59" t="b">
        <v>1</v>
      </c>
      <c r="Q59">
        <v>223.80988809508392</v>
      </c>
      <c r="R59">
        <v>500</v>
      </c>
      <c r="S59">
        <v>1.2238098880950838</v>
      </c>
      <c r="T59">
        <v>0</v>
      </c>
      <c r="U59">
        <v>0</v>
      </c>
      <c r="V59">
        <v>0</v>
      </c>
    </row>
    <row r="60" spans="1:22" x14ac:dyDescent="0.25">
      <c r="A60"/>
      <c r="B60">
        <v>11007</v>
      </c>
      <c r="C60" t="s">
        <v>107</v>
      </c>
      <c r="D60" t="s">
        <v>47</v>
      </c>
      <c r="E60" t="s">
        <v>436</v>
      </c>
      <c r="F60" t="s">
        <v>101</v>
      </c>
      <c r="G60">
        <v>263.3</v>
      </c>
      <c r="H60" t="s">
        <v>451</v>
      </c>
      <c r="I60">
        <v>0</v>
      </c>
      <c r="J60">
        <v>0</v>
      </c>
      <c r="K60">
        <v>0</v>
      </c>
      <c r="L60">
        <v>0</v>
      </c>
      <c r="M60" t="s">
        <v>101</v>
      </c>
      <c r="N60">
        <v>263.3</v>
      </c>
      <c r="O60" t="s">
        <v>451</v>
      </c>
      <c r="P60" t="b">
        <v>1</v>
      </c>
      <c r="Q60">
        <v>263.29986835009873</v>
      </c>
      <c r="R60">
        <v>500</v>
      </c>
      <c r="S60">
        <v>1.2632998683500987</v>
      </c>
      <c r="T60">
        <v>0</v>
      </c>
      <c r="U60">
        <v>0</v>
      </c>
      <c r="V60">
        <v>0</v>
      </c>
    </row>
    <row r="61" spans="1:22" x14ac:dyDescent="0.25">
      <c r="A61"/>
      <c r="B61">
        <v>11008</v>
      </c>
      <c r="C61" t="s">
        <v>108</v>
      </c>
      <c r="D61" t="s">
        <v>47</v>
      </c>
      <c r="E61" t="s">
        <v>436</v>
      </c>
      <c r="F61" t="s">
        <v>101</v>
      </c>
      <c r="G61">
        <v>314.22000000000003</v>
      </c>
      <c r="H61" t="s">
        <v>451</v>
      </c>
      <c r="I61">
        <v>0</v>
      </c>
      <c r="J61">
        <v>0</v>
      </c>
      <c r="K61">
        <v>0</v>
      </c>
      <c r="L61">
        <v>0</v>
      </c>
      <c r="M61" t="s">
        <v>101</v>
      </c>
      <c r="N61">
        <v>314.22000000000003</v>
      </c>
      <c r="O61" t="s">
        <v>451</v>
      </c>
      <c r="P61" t="b">
        <v>1</v>
      </c>
      <c r="Q61">
        <v>314.21984289011783</v>
      </c>
      <c r="R61">
        <v>500</v>
      </c>
      <c r="S61">
        <v>1.3142198428901177</v>
      </c>
      <c r="T61">
        <v>0</v>
      </c>
      <c r="U61">
        <v>0</v>
      </c>
      <c r="V61">
        <v>0</v>
      </c>
    </row>
    <row r="62" spans="1:22" x14ac:dyDescent="0.25">
      <c r="A62"/>
      <c r="B62">
        <v>11009</v>
      </c>
      <c r="C62" t="s">
        <v>109</v>
      </c>
      <c r="D62" t="s">
        <v>47</v>
      </c>
      <c r="E62" t="s">
        <v>436</v>
      </c>
      <c r="F62" t="s">
        <v>101</v>
      </c>
      <c r="G62">
        <v>375.63999999999902</v>
      </c>
      <c r="H62" t="s">
        <v>451</v>
      </c>
      <c r="I62">
        <v>0</v>
      </c>
      <c r="J62">
        <v>0</v>
      </c>
      <c r="K62">
        <v>0</v>
      </c>
      <c r="L62">
        <v>0</v>
      </c>
      <c r="M62" t="s">
        <v>101</v>
      </c>
      <c r="N62">
        <v>375.63999999999902</v>
      </c>
      <c r="O62" t="s">
        <v>451</v>
      </c>
      <c r="P62" t="b">
        <v>1</v>
      </c>
      <c r="Q62">
        <v>375.63981218013987</v>
      </c>
      <c r="R62">
        <v>500</v>
      </c>
      <c r="S62">
        <v>1.3756398121801399</v>
      </c>
      <c r="T62">
        <v>0</v>
      </c>
      <c r="U62">
        <v>0</v>
      </c>
      <c r="V62">
        <v>0</v>
      </c>
    </row>
    <row r="63" spans="1:22" x14ac:dyDescent="0.25">
      <c r="A63"/>
      <c r="B63">
        <v>11010</v>
      </c>
      <c r="C63" t="s">
        <v>110</v>
      </c>
      <c r="D63" t="s">
        <v>47</v>
      </c>
      <c r="E63" t="s">
        <v>436</v>
      </c>
      <c r="F63" t="s">
        <v>101</v>
      </c>
      <c r="G63">
        <v>401</v>
      </c>
      <c r="H63" t="s">
        <v>451</v>
      </c>
      <c r="I63">
        <v>0</v>
      </c>
      <c r="J63">
        <v>0</v>
      </c>
      <c r="K63">
        <v>0</v>
      </c>
      <c r="L63">
        <v>0</v>
      </c>
      <c r="M63" t="s">
        <v>101</v>
      </c>
      <c r="N63">
        <v>401</v>
      </c>
      <c r="O63" t="s">
        <v>451</v>
      </c>
      <c r="P63" t="b">
        <v>1</v>
      </c>
      <c r="Q63">
        <v>400.99979950015035</v>
      </c>
      <c r="R63">
        <v>500</v>
      </c>
      <c r="S63">
        <v>1.4009997995001504</v>
      </c>
      <c r="T63">
        <v>0</v>
      </c>
      <c r="U63">
        <v>0</v>
      </c>
      <c r="V63">
        <v>0</v>
      </c>
    </row>
    <row r="64" spans="1:22" x14ac:dyDescent="0.25">
      <c r="A64"/>
      <c r="B64">
        <v>11011</v>
      </c>
      <c r="C64" t="s">
        <v>111</v>
      </c>
      <c r="D64" t="s">
        <v>47</v>
      </c>
      <c r="E64" t="s">
        <v>436</v>
      </c>
      <c r="F64" t="s">
        <v>101</v>
      </c>
      <c r="G64">
        <v>521</v>
      </c>
      <c r="H64" t="s">
        <v>451</v>
      </c>
      <c r="I64">
        <v>0</v>
      </c>
      <c r="J64">
        <v>0</v>
      </c>
      <c r="K64">
        <v>0</v>
      </c>
      <c r="L64">
        <v>0</v>
      </c>
      <c r="M64" t="s">
        <v>101</v>
      </c>
      <c r="N64">
        <v>521</v>
      </c>
      <c r="O64" t="s">
        <v>451</v>
      </c>
      <c r="P64" t="b">
        <v>1</v>
      </c>
      <c r="Q64">
        <v>520.99973950019535</v>
      </c>
      <c r="R64">
        <v>500</v>
      </c>
      <c r="S64">
        <v>1.5209997395001955</v>
      </c>
      <c r="T64">
        <v>0</v>
      </c>
      <c r="U64">
        <v>0</v>
      </c>
      <c r="V64">
        <v>0</v>
      </c>
    </row>
    <row r="65" spans="1:22" x14ac:dyDescent="0.25">
      <c r="A65"/>
      <c r="B65">
        <v>11012</v>
      </c>
      <c r="C65" t="s">
        <v>112</v>
      </c>
      <c r="D65" t="s">
        <v>47</v>
      </c>
      <c r="E65" t="s">
        <v>436</v>
      </c>
      <c r="F65" t="s">
        <v>101</v>
      </c>
      <c r="G65">
        <v>542</v>
      </c>
      <c r="H65" t="s">
        <v>451</v>
      </c>
      <c r="I65">
        <v>0</v>
      </c>
      <c r="J65">
        <v>0</v>
      </c>
      <c r="K65">
        <v>0</v>
      </c>
      <c r="L65">
        <v>0</v>
      </c>
      <c r="M65" t="s">
        <v>101</v>
      </c>
      <c r="N65">
        <v>542</v>
      </c>
      <c r="O65" t="s">
        <v>451</v>
      </c>
      <c r="P65" t="b">
        <v>1</v>
      </c>
      <c r="Q65">
        <v>541.99972900020327</v>
      </c>
      <c r="R65">
        <v>500</v>
      </c>
      <c r="S65">
        <v>1.5419997290002032</v>
      </c>
      <c r="T65">
        <v>0</v>
      </c>
      <c r="U65">
        <v>0</v>
      </c>
      <c r="V65">
        <v>0</v>
      </c>
    </row>
    <row r="66" spans="1:22" x14ac:dyDescent="0.25">
      <c r="A66"/>
      <c r="B66">
        <v>11013</v>
      </c>
      <c r="C66" t="s">
        <v>113</v>
      </c>
      <c r="D66" t="s">
        <v>47</v>
      </c>
      <c r="E66" t="s">
        <v>436</v>
      </c>
      <c r="F66" t="s">
        <v>101</v>
      </c>
      <c r="G66">
        <v>637.67999999999904</v>
      </c>
      <c r="H66" t="s">
        <v>451</v>
      </c>
      <c r="I66">
        <v>0</v>
      </c>
      <c r="J66">
        <v>0</v>
      </c>
      <c r="K66">
        <v>0</v>
      </c>
      <c r="L66">
        <v>0</v>
      </c>
      <c r="M66" t="s">
        <v>101</v>
      </c>
      <c r="N66">
        <v>637.67999999999904</v>
      </c>
      <c r="O66" t="s">
        <v>451</v>
      </c>
      <c r="P66" t="b">
        <v>1</v>
      </c>
      <c r="Q66">
        <v>637.67968116023815</v>
      </c>
      <c r="R66">
        <v>500</v>
      </c>
      <c r="S66">
        <v>1.6376796811602383</v>
      </c>
      <c r="T66">
        <v>0</v>
      </c>
      <c r="U66">
        <v>0</v>
      </c>
      <c r="V66">
        <v>0</v>
      </c>
    </row>
    <row r="67" spans="1:22" x14ac:dyDescent="0.25">
      <c r="A67"/>
      <c r="B67">
        <v>11014</v>
      </c>
      <c r="C67" t="s">
        <v>114</v>
      </c>
      <c r="D67" t="s">
        <v>47</v>
      </c>
      <c r="E67" t="s">
        <v>436</v>
      </c>
      <c r="F67" t="s">
        <v>101</v>
      </c>
      <c r="G67">
        <v>652.53999999999905</v>
      </c>
      <c r="H67" t="s">
        <v>451</v>
      </c>
      <c r="I67">
        <v>0</v>
      </c>
      <c r="J67">
        <v>0</v>
      </c>
      <c r="K67">
        <v>0</v>
      </c>
      <c r="L67">
        <v>0</v>
      </c>
      <c r="M67" t="s">
        <v>101</v>
      </c>
      <c r="N67">
        <v>652.53999999999905</v>
      </c>
      <c r="O67" t="s">
        <v>451</v>
      </c>
      <c r="P67" t="b">
        <v>1</v>
      </c>
      <c r="Q67">
        <v>652.53967373024375</v>
      </c>
      <c r="R67">
        <v>500</v>
      </c>
      <c r="S67">
        <v>1.6525396737302438</v>
      </c>
      <c r="T67">
        <v>0</v>
      </c>
      <c r="U67">
        <v>0</v>
      </c>
      <c r="V67">
        <v>0</v>
      </c>
    </row>
    <row r="68" spans="1:22" x14ac:dyDescent="0.25">
      <c r="A68"/>
      <c r="B68">
        <v>11015</v>
      </c>
      <c r="C68" t="s">
        <v>115</v>
      </c>
      <c r="D68" t="s">
        <v>47</v>
      </c>
      <c r="E68" t="s">
        <v>436</v>
      </c>
      <c r="F68" t="s">
        <v>101</v>
      </c>
      <c r="G68">
        <v>655.53999999999905</v>
      </c>
      <c r="H68" t="s">
        <v>451</v>
      </c>
      <c r="I68">
        <v>0</v>
      </c>
      <c r="J68">
        <v>0</v>
      </c>
      <c r="K68">
        <v>0</v>
      </c>
      <c r="L68">
        <v>0</v>
      </c>
      <c r="M68" t="s">
        <v>101</v>
      </c>
      <c r="N68">
        <v>655.53999999999905</v>
      </c>
      <c r="O68" t="s">
        <v>451</v>
      </c>
      <c r="P68" t="b">
        <v>1</v>
      </c>
      <c r="Q68">
        <v>655.53967223024483</v>
      </c>
      <c r="R68">
        <v>500</v>
      </c>
      <c r="S68">
        <v>1.6555396722302449</v>
      </c>
      <c r="T68">
        <v>0</v>
      </c>
      <c r="U68">
        <v>0</v>
      </c>
      <c r="V68">
        <v>0</v>
      </c>
    </row>
    <row r="69" spans="1:22" x14ac:dyDescent="0.25">
      <c r="A69"/>
      <c r="B69">
        <v>11016</v>
      </c>
      <c r="C69" t="s">
        <v>116</v>
      </c>
      <c r="D69" t="s">
        <v>47</v>
      </c>
      <c r="E69" t="s">
        <v>436</v>
      </c>
      <c r="F69" t="s">
        <v>101</v>
      </c>
      <c r="G69">
        <v>675.46</v>
      </c>
      <c r="H69" t="s">
        <v>451</v>
      </c>
      <c r="I69">
        <v>0</v>
      </c>
      <c r="J69">
        <v>0</v>
      </c>
      <c r="K69">
        <v>0</v>
      </c>
      <c r="L69">
        <v>0</v>
      </c>
      <c r="M69" t="s">
        <v>101</v>
      </c>
      <c r="N69">
        <v>675.46</v>
      </c>
      <c r="O69" t="s">
        <v>451</v>
      </c>
      <c r="P69" t="b">
        <v>1</v>
      </c>
      <c r="Q69">
        <v>675.45966227025326</v>
      </c>
      <c r="R69">
        <v>500</v>
      </c>
      <c r="S69">
        <v>1.6754596622702533</v>
      </c>
      <c r="T69">
        <v>0</v>
      </c>
      <c r="U69">
        <v>0</v>
      </c>
      <c r="V69">
        <v>0</v>
      </c>
    </row>
    <row r="70" spans="1:22" x14ac:dyDescent="0.25">
      <c r="A70"/>
      <c r="B70">
        <v>11017</v>
      </c>
      <c r="C70" t="s">
        <v>117</v>
      </c>
      <c r="D70" t="s">
        <v>47</v>
      </c>
      <c r="E70" t="s">
        <v>436</v>
      </c>
      <c r="F70" t="s">
        <v>101</v>
      </c>
      <c r="G70">
        <v>678.46</v>
      </c>
      <c r="H70" t="s">
        <v>451</v>
      </c>
      <c r="I70">
        <v>0</v>
      </c>
      <c r="J70">
        <v>0</v>
      </c>
      <c r="K70">
        <v>0</v>
      </c>
      <c r="L70">
        <v>0</v>
      </c>
      <c r="M70" t="s">
        <v>101</v>
      </c>
      <c r="N70">
        <v>678.46</v>
      </c>
      <c r="O70" t="s">
        <v>451</v>
      </c>
      <c r="P70" t="b">
        <v>1</v>
      </c>
      <c r="Q70">
        <v>678.45966077025446</v>
      </c>
      <c r="R70">
        <v>500</v>
      </c>
      <c r="S70">
        <v>1.6784596607702544</v>
      </c>
      <c r="T70">
        <v>0</v>
      </c>
      <c r="U70">
        <v>0</v>
      </c>
      <c r="V70">
        <v>0</v>
      </c>
    </row>
    <row r="71" spans="1:22" x14ac:dyDescent="0.25">
      <c r="A71"/>
      <c r="B71">
        <v>11018</v>
      </c>
      <c r="C71" t="s">
        <v>118</v>
      </c>
      <c r="D71" t="s">
        <v>47</v>
      </c>
      <c r="E71" t="s">
        <v>436</v>
      </c>
      <c r="F71" t="s">
        <v>101</v>
      </c>
      <c r="G71">
        <v>736.48</v>
      </c>
      <c r="H71" t="s">
        <v>451</v>
      </c>
      <c r="I71">
        <v>0</v>
      </c>
      <c r="J71">
        <v>0</v>
      </c>
      <c r="K71">
        <v>0</v>
      </c>
      <c r="L71">
        <v>0</v>
      </c>
      <c r="M71" t="s">
        <v>101</v>
      </c>
      <c r="N71">
        <v>736.48</v>
      </c>
      <c r="O71" t="s">
        <v>451</v>
      </c>
      <c r="P71" t="b">
        <v>1</v>
      </c>
      <c r="Q71">
        <v>736.47963176027622</v>
      </c>
      <c r="R71">
        <v>500</v>
      </c>
      <c r="S71">
        <v>1.7364796317602762</v>
      </c>
      <c r="T71">
        <v>0</v>
      </c>
      <c r="U71">
        <v>0</v>
      </c>
      <c r="V71">
        <v>0</v>
      </c>
    </row>
    <row r="72" spans="1:22" x14ac:dyDescent="0.25">
      <c r="A72"/>
      <c r="B72">
        <v>11019</v>
      </c>
      <c r="C72" t="s">
        <v>119</v>
      </c>
      <c r="D72" t="s">
        <v>47</v>
      </c>
      <c r="E72" t="s">
        <v>436</v>
      </c>
      <c r="F72" t="s">
        <v>101</v>
      </c>
      <c r="G72">
        <v>771.58</v>
      </c>
      <c r="H72" t="s">
        <v>451</v>
      </c>
      <c r="I72">
        <v>0</v>
      </c>
      <c r="J72">
        <v>0</v>
      </c>
      <c r="K72">
        <v>0</v>
      </c>
      <c r="L72">
        <v>0</v>
      </c>
      <c r="M72" t="s">
        <v>101</v>
      </c>
      <c r="N72">
        <v>771.58</v>
      </c>
      <c r="O72" t="s">
        <v>451</v>
      </c>
      <c r="P72" t="b">
        <v>1</v>
      </c>
      <c r="Q72">
        <v>771.57961421028938</v>
      </c>
      <c r="R72">
        <v>500</v>
      </c>
      <c r="S72">
        <v>1.7715796142102893</v>
      </c>
      <c r="T72">
        <v>0</v>
      </c>
      <c r="U72">
        <v>0</v>
      </c>
      <c r="V72">
        <v>0</v>
      </c>
    </row>
    <row r="73" spans="1:22" x14ac:dyDescent="0.25">
      <c r="A73"/>
      <c r="B73">
        <v>11020</v>
      </c>
      <c r="C73" t="s">
        <v>120</v>
      </c>
      <c r="D73" t="s">
        <v>47</v>
      </c>
      <c r="E73" t="s">
        <v>436</v>
      </c>
      <c r="F73" t="s">
        <v>101</v>
      </c>
      <c r="G73">
        <v>774.58</v>
      </c>
      <c r="H73" t="s">
        <v>451</v>
      </c>
      <c r="I73">
        <v>0</v>
      </c>
      <c r="J73">
        <v>0</v>
      </c>
      <c r="K73">
        <v>0</v>
      </c>
      <c r="L73">
        <v>0</v>
      </c>
      <c r="M73" t="s">
        <v>101</v>
      </c>
      <c r="N73">
        <v>774.58</v>
      </c>
      <c r="O73" t="s">
        <v>451</v>
      </c>
      <c r="P73" t="b">
        <v>1</v>
      </c>
      <c r="Q73">
        <v>774.57961271029046</v>
      </c>
      <c r="R73">
        <v>500</v>
      </c>
      <c r="S73">
        <v>1.7745796127102906</v>
      </c>
      <c r="T73">
        <v>0</v>
      </c>
      <c r="U73">
        <v>0</v>
      </c>
      <c r="V73">
        <v>0</v>
      </c>
    </row>
    <row r="74" spans="1:22" x14ac:dyDescent="0.25">
      <c r="A74"/>
      <c r="B74">
        <v>11021</v>
      </c>
      <c r="C74" t="s">
        <v>121</v>
      </c>
      <c r="D74" t="s">
        <v>47</v>
      </c>
      <c r="E74" t="s">
        <v>436</v>
      </c>
      <c r="F74" t="s">
        <v>101</v>
      </c>
      <c r="G74">
        <v>794.5</v>
      </c>
      <c r="H74" t="s">
        <v>451</v>
      </c>
      <c r="I74">
        <v>0</v>
      </c>
      <c r="J74">
        <v>0</v>
      </c>
      <c r="K74">
        <v>0</v>
      </c>
      <c r="L74">
        <v>0</v>
      </c>
      <c r="M74" t="s">
        <v>101</v>
      </c>
      <c r="N74">
        <v>794.5</v>
      </c>
      <c r="O74" t="s">
        <v>451</v>
      </c>
      <c r="P74" t="b">
        <v>1</v>
      </c>
      <c r="Q74">
        <v>794.49960275029787</v>
      </c>
      <c r="R74">
        <v>500</v>
      </c>
      <c r="S74">
        <v>1.794499602750298</v>
      </c>
      <c r="T74">
        <v>0</v>
      </c>
      <c r="U74">
        <v>0</v>
      </c>
      <c r="V74">
        <v>0</v>
      </c>
    </row>
    <row r="75" spans="1:22" x14ac:dyDescent="0.25">
      <c r="A75"/>
      <c r="B75">
        <v>11022</v>
      </c>
      <c r="C75" t="s">
        <v>122</v>
      </c>
      <c r="D75" t="s">
        <v>47</v>
      </c>
      <c r="E75" t="s">
        <v>436</v>
      </c>
      <c r="F75" t="s">
        <v>101</v>
      </c>
      <c r="G75">
        <v>797.5</v>
      </c>
      <c r="H75" t="s">
        <v>451</v>
      </c>
      <c r="I75">
        <v>0</v>
      </c>
      <c r="J75">
        <v>0</v>
      </c>
      <c r="K75">
        <v>0</v>
      </c>
      <c r="L75">
        <v>0</v>
      </c>
      <c r="M75" t="s">
        <v>101</v>
      </c>
      <c r="N75">
        <v>797.5</v>
      </c>
      <c r="O75" t="s">
        <v>451</v>
      </c>
      <c r="P75" t="b">
        <v>1</v>
      </c>
      <c r="Q75">
        <v>797.49960125029907</v>
      </c>
      <c r="R75">
        <v>500</v>
      </c>
      <c r="S75">
        <v>1.7974996012502991</v>
      </c>
      <c r="T75">
        <v>0</v>
      </c>
      <c r="U75">
        <v>0</v>
      </c>
      <c r="V75">
        <v>0</v>
      </c>
    </row>
    <row r="76" spans="1:22" x14ac:dyDescent="0.25">
      <c r="A76"/>
      <c r="B76">
        <v>11023</v>
      </c>
      <c r="C76" t="s">
        <v>123</v>
      </c>
      <c r="D76" t="s">
        <v>47</v>
      </c>
      <c r="E76" t="s">
        <v>436</v>
      </c>
      <c r="F76" t="s">
        <v>101</v>
      </c>
      <c r="G76">
        <v>849.91999999999905</v>
      </c>
      <c r="H76" t="s">
        <v>451</v>
      </c>
      <c r="I76">
        <v>0</v>
      </c>
      <c r="J76">
        <v>0</v>
      </c>
      <c r="K76">
        <v>0</v>
      </c>
      <c r="L76">
        <v>0</v>
      </c>
      <c r="M76" t="s">
        <v>101</v>
      </c>
      <c r="N76">
        <v>849.91999999999905</v>
      </c>
      <c r="O76" t="s">
        <v>451</v>
      </c>
      <c r="P76" t="b">
        <v>1</v>
      </c>
      <c r="Q76">
        <v>849.9195750403178</v>
      </c>
      <c r="R76">
        <v>500</v>
      </c>
      <c r="S76">
        <v>1.8499195750403179</v>
      </c>
      <c r="T76">
        <v>0</v>
      </c>
      <c r="U76">
        <v>0</v>
      </c>
      <c r="V76">
        <v>0</v>
      </c>
    </row>
    <row r="77" spans="1:22" x14ac:dyDescent="0.25">
      <c r="A77"/>
      <c r="B77">
        <v>11024</v>
      </c>
      <c r="C77" t="s">
        <v>124</v>
      </c>
      <c r="D77" t="s">
        <v>47</v>
      </c>
      <c r="E77" t="s">
        <v>436</v>
      </c>
      <c r="F77" t="s">
        <v>101</v>
      </c>
      <c r="G77">
        <v>929</v>
      </c>
      <c r="H77" t="s">
        <v>451</v>
      </c>
      <c r="I77">
        <v>0</v>
      </c>
      <c r="J77">
        <v>0</v>
      </c>
      <c r="K77">
        <v>0</v>
      </c>
      <c r="L77">
        <v>0</v>
      </c>
      <c r="M77" t="s">
        <v>101</v>
      </c>
      <c r="N77">
        <v>929</v>
      </c>
      <c r="O77" t="s">
        <v>451</v>
      </c>
      <c r="P77" t="b">
        <v>1</v>
      </c>
      <c r="Q77">
        <v>928.99953550034832</v>
      </c>
      <c r="R77">
        <v>500</v>
      </c>
      <c r="S77">
        <v>1.9289995355003482</v>
      </c>
      <c r="T77">
        <v>0</v>
      </c>
      <c r="U77">
        <v>0</v>
      </c>
      <c r="V77">
        <v>0</v>
      </c>
    </row>
    <row r="78" spans="1:22" x14ac:dyDescent="0.25">
      <c r="A78"/>
      <c r="B78">
        <v>11025</v>
      </c>
      <c r="C78" t="s">
        <v>125</v>
      </c>
      <c r="D78" t="s">
        <v>47</v>
      </c>
      <c r="E78" t="s">
        <v>436</v>
      </c>
      <c r="F78" t="s">
        <v>101</v>
      </c>
      <c r="G78">
        <v>950</v>
      </c>
      <c r="H78" t="s">
        <v>451</v>
      </c>
      <c r="I78">
        <v>0</v>
      </c>
      <c r="J78">
        <v>0</v>
      </c>
      <c r="K78">
        <v>0</v>
      </c>
      <c r="L78">
        <v>0</v>
      </c>
      <c r="M78" t="s">
        <v>101</v>
      </c>
      <c r="N78">
        <v>950</v>
      </c>
      <c r="O78" t="s">
        <v>451</v>
      </c>
      <c r="P78" t="b">
        <v>1</v>
      </c>
      <c r="Q78">
        <v>949.99952500035624</v>
      </c>
      <c r="R78">
        <v>500</v>
      </c>
      <c r="S78">
        <v>1.9499995250003561</v>
      </c>
      <c r="T78">
        <v>0</v>
      </c>
      <c r="U78">
        <v>0</v>
      </c>
      <c r="V78">
        <v>0</v>
      </c>
    </row>
    <row r="79" spans="1:22" x14ac:dyDescent="0.25">
      <c r="A79"/>
      <c r="B79">
        <v>11026</v>
      </c>
      <c r="C79" t="s">
        <v>126</v>
      </c>
      <c r="D79" t="s">
        <v>47</v>
      </c>
      <c r="E79" t="s">
        <v>436</v>
      </c>
      <c r="F79" t="s">
        <v>101</v>
      </c>
      <c r="G79">
        <v>1070</v>
      </c>
      <c r="H79" t="s">
        <v>451</v>
      </c>
      <c r="I79">
        <v>0</v>
      </c>
      <c r="J79">
        <v>0</v>
      </c>
      <c r="K79">
        <v>0</v>
      </c>
      <c r="L79">
        <v>0</v>
      </c>
      <c r="M79" t="s">
        <v>101</v>
      </c>
      <c r="N79">
        <v>1070</v>
      </c>
      <c r="O79" t="s">
        <v>451</v>
      </c>
      <c r="P79" t="b">
        <v>1</v>
      </c>
      <c r="Q79">
        <v>1069.9994650004012</v>
      </c>
      <c r="R79">
        <v>500</v>
      </c>
      <c r="S79">
        <v>2.069999465000401</v>
      </c>
      <c r="T79">
        <v>0</v>
      </c>
      <c r="U79">
        <v>0</v>
      </c>
      <c r="V79">
        <v>0</v>
      </c>
    </row>
    <row r="80" spans="1:22" x14ac:dyDescent="0.25">
      <c r="A80"/>
      <c r="B80">
        <v>11027</v>
      </c>
      <c r="C80" t="s">
        <v>127</v>
      </c>
      <c r="D80" t="s">
        <v>47</v>
      </c>
      <c r="E80" t="s">
        <v>436</v>
      </c>
      <c r="F80" t="s">
        <v>101</v>
      </c>
      <c r="G80">
        <v>1250</v>
      </c>
      <c r="H80" t="s">
        <v>451</v>
      </c>
      <c r="I80">
        <v>0</v>
      </c>
      <c r="J80">
        <v>0</v>
      </c>
      <c r="K80">
        <v>0</v>
      </c>
      <c r="L80">
        <v>0</v>
      </c>
      <c r="M80" t="s">
        <v>101</v>
      </c>
      <c r="N80">
        <v>1250</v>
      </c>
      <c r="O80" t="s">
        <v>451</v>
      </c>
      <c r="P80" t="b">
        <v>1</v>
      </c>
      <c r="Q80">
        <v>1249.9993750004687</v>
      </c>
      <c r="R80">
        <v>500</v>
      </c>
      <c r="S80">
        <v>2.2499993750004688</v>
      </c>
      <c r="T80">
        <v>0</v>
      </c>
      <c r="U80">
        <v>0</v>
      </c>
      <c r="V80">
        <v>0</v>
      </c>
    </row>
    <row r="81" spans="1:22" x14ac:dyDescent="0.25">
      <c r="A81"/>
      <c r="B81">
        <v>11028</v>
      </c>
      <c r="C81" t="s">
        <v>128</v>
      </c>
      <c r="D81" t="s">
        <v>47</v>
      </c>
      <c r="E81" t="s">
        <v>436</v>
      </c>
      <c r="F81" t="s">
        <v>101</v>
      </c>
      <c r="G81">
        <v>1430</v>
      </c>
      <c r="H81" t="s">
        <v>451</v>
      </c>
      <c r="I81">
        <v>0</v>
      </c>
      <c r="J81">
        <v>0</v>
      </c>
      <c r="K81">
        <v>0</v>
      </c>
      <c r="L81">
        <v>0</v>
      </c>
      <c r="M81" t="s">
        <v>101</v>
      </c>
      <c r="N81">
        <v>1430</v>
      </c>
      <c r="O81" t="s">
        <v>451</v>
      </c>
      <c r="P81" t="b">
        <v>1</v>
      </c>
      <c r="Q81">
        <v>1429.9992850005362</v>
      </c>
      <c r="R81">
        <v>500</v>
      </c>
      <c r="S81">
        <v>2.4299992850005365</v>
      </c>
      <c r="T81">
        <v>0</v>
      </c>
      <c r="U81">
        <v>0</v>
      </c>
      <c r="V81">
        <v>0</v>
      </c>
    </row>
    <row r="82" spans="1:22" x14ac:dyDescent="0.25">
      <c r="A82"/>
      <c r="B82">
        <v>11029</v>
      </c>
      <c r="C82" t="s">
        <v>129</v>
      </c>
      <c r="D82" t="s">
        <v>47</v>
      </c>
      <c r="E82" t="s">
        <v>436</v>
      </c>
      <c r="F82" t="s">
        <v>101</v>
      </c>
      <c r="G82">
        <v>1580</v>
      </c>
      <c r="H82" t="s">
        <v>451</v>
      </c>
      <c r="I82">
        <v>0</v>
      </c>
      <c r="J82">
        <v>0</v>
      </c>
      <c r="K82">
        <v>0</v>
      </c>
      <c r="L82">
        <v>0</v>
      </c>
      <c r="M82" t="s">
        <v>101</v>
      </c>
      <c r="N82">
        <v>1580</v>
      </c>
      <c r="O82" t="s">
        <v>451</v>
      </c>
      <c r="P82" t="b">
        <v>1</v>
      </c>
      <c r="Q82">
        <v>1579.9992100005925</v>
      </c>
      <c r="R82">
        <v>500</v>
      </c>
      <c r="S82">
        <v>2.5799992100005924</v>
      </c>
      <c r="T82">
        <v>0</v>
      </c>
      <c r="U82">
        <v>0</v>
      </c>
      <c r="V82">
        <v>0</v>
      </c>
    </row>
    <row r="83" spans="1:22" x14ac:dyDescent="0.25">
      <c r="A83"/>
      <c r="B83">
        <v>11030</v>
      </c>
      <c r="C83" t="s">
        <v>130</v>
      </c>
      <c r="D83" t="s">
        <v>47</v>
      </c>
      <c r="E83" t="s">
        <v>436</v>
      </c>
      <c r="F83" t="s">
        <v>101</v>
      </c>
      <c r="G83">
        <v>1730</v>
      </c>
      <c r="H83" t="s">
        <v>451</v>
      </c>
      <c r="I83">
        <v>0</v>
      </c>
      <c r="J83">
        <v>0</v>
      </c>
      <c r="K83">
        <v>0</v>
      </c>
      <c r="L83">
        <v>0</v>
      </c>
      <c r="M83" t="s">
        <v>101</v>
      </c>
      <c r="N83">
        <v>1730</v>
      </c>
      <c r="O83" t="s">
        <v>451</v>
      </c>
      <c r="P83" t="b">
        <v>1</v>
      </c>
      <c r="Q83">
        <v>1729.9991350006487</v>
      </c>
      <c r="R83">
        <v>500</v>
      </c>
      <c r="S83">
        <v>2.7299991350006487</v>
      </c>
      <c r="T83">
        <v>0</v>
      </c>
      <c r="U83">
        <v>0</v>
      </c>
      <c r="V83">
        <v>0</v>
      </c>
    </row>
    <row r="84" spans="1:22" x14ac:dyDescent="0.25">
      <c r="A84"/>
      <c r="B84">
        <v>11031</v>
      </c>
      <c r="C84" t="s">
        <v>131</v>
      </c>
      <c r="D84" t="s">
        <v>47</v>
      </c>
      <c r="E84" t="s">
        <v>436</v>
      </c>
      <c r="F84" t="s">
        <v>101</v>
      </c>
      <c r="G84">
        <v>1915</v>
      </c>
      <c r="H84" t="s">
        <v>451</v>
      </c>
      <c r="I84">
        <v>0</v>
      </c>
      <c r="J84">
        <v>0</v>
      </c>
      <c r="K84">
        <v>0</v>
      </c>
      <c r="L84">
        <v>0</v>
      </c>
      <c r="M84" t="s">
        <v>101</v>
      </c>
      <c r="N84">
        <v>1915</v>
      </c>
      <c r="O84" t="s">
        <v>451</v>
      </c>
      <c r="P84" t="b">
        <v>1</v>
      </c>
      <c r="Q84">
        <v>1914.9990425007181</v>
      </c>
      <c r="R84">
        <v>500</v>
      </c>
      <c r="S84">
        <v>2.9149990425007184</v>
      </c>
      <c r="T84">
        <v>0</v>
      </c>
      <c r="U84">
        <v>0</v>
      </c>
      <c r="V84">
        <v>0</v>
      </c>
    </row>
    <row r="85" spans="1:22" x14ac:dyDescent="0.25">
      <c r="A85"/>
      <c r="B85">
        <v>11032</v>
      </c>
      <c r="C85" t="s">
        <v>132</v>
      </c>
      <c r="D85" t="s">
        <v>47</v>
      </c>
      <c r="E85" t="s">
        <v>436</v>
      </c>
      <c r="F85" t="s">
        <v>101</v>
      </c>
      <c r="G85">
        <v>2095</v>
      </c>
      <c r="H85" t="s">
        <v>451</v>
      </c>
      <c r="I85">
        <v>0</v>
      </c>
      <c r="J85">
        <v>0</v>
      </c>
      <c r="K85">
        <v>0</v>
      </c>
      <c r="L85">
        <v>0</v>
      </c>
      <c r="M85" t="s">
        <v>101</v>
      </c>
      <c r="N85">
        <v>2095</v>
      </c>
      <c r="O85" t="s">
        <v>451</v>
      </c>
      <c r="P85" t="b">
        <v>1</v>
      </c>
      <c r="Q85">
        <v>2094.9989525007854</v>
      </c>
      <c r="R85">
        <v>500</v>
      </c>
      <c r="S85">
        <v>3.0949989525007857</v>
      </c>
      <c r="T85">
        <v>0</v>
      </c>
      <c r="U85">
        <v>0</v>
      </c>
      <c r="V85">
        <v>0</v>
      </c>
    </row>
    <row r="86" spans="1:22" x14ac:dyDescent="0.25">
      <c r="A86"/>
      <c r="B86">
        <v>11033</v>
      </c>
      <c r="C86" t="s">
        <v>133</v>
      </c>
      <c r="D86" t="s">
        <v>47</v>
      </c>
      <c r="E86" t="s">
        <v>436</v>
      </c>
      <c r="F86" t="s">
        <v>101</v>
      </c>
      <c r="G86">
        <v>2215</v>
      </c>
      <c r="H86" t="s">
        <v>451</v>
      </c>
      <c r="I86">
        <v>0</v>
      </c>
      <c r="J86">
        <v>0</v>
      </c>
      <c r="K86">
        <v>0</v>
      </c>
      <c r="L86">
        <v>0</v>
      </c>
      <c r="M86" t="s">
        <v>101</v>
      </c>
      <c r="N86">
        <v>2215</v>
      </c>
      <c r="O86" t="s">
        <v>451</v>
      </c>
      <c r="P86" t="b">
        <v>1</v>
      </c>
      <c r="Q86">
        <v>2214.9988925008306</v>
      </c>
      <c r="R86">
        <v>500</v>
      </c>
      <c r="S86">
        <v>3.2149988925008306</v>
      </c>
      <c r="T86">
        <v>0</v>
      </c>
      <c r="U86">
        <v>0</v>
      </c>
      <c r="V86">
        <v>0</v>
      </c>
    </row>
    <row r="87" spans="1:22" x14ac:dyDescent="0.25">
      <c r="A87"/>
      <c r="B87">
        <v>11034</v>
      </c>
      <c r="C87" t="s">
        <v>134</v>
      </c>
      <c r="D87" t="s">
        <v>47</v>
      </c>
      <c r="E87" t="s">
        <v>436</v>
      </c>
      <c r="F87" t="s">
        <v>101</v>
      </c>
      <c r="G87">
        <v>2236</v>
      </c>
      <c r="H87" t="s">
        <v>451</v>
      </c>
      <c r="I87">
        <v>0</v>
      </c>
      <c r="J87">
        <v>0</v>
      </c>
      <c r="K87">
        <v>0</v>
      </c>
      <c r="L87">
        <v>0</v>
      </c>
      <c r="M87" t="s">
        <v>101</v>
      </c>
      <c r="N87">
        <v>2236</v>
      </c>
      <c r="O87" t="s">
        <v>451</v>
      </c>
      <c r="P87" t="b">
        <v>1</v>
      </c>
      <c r="Q87">
        <v>2235.9988820008384</v>
      </c>
      <c r="R87">
        <v>500</v>
      </c>
      <c r="S87">
        <v>3.2359988820008385</v>
      </c>
      <c r="T87">
        <v>0</v>
      </c>
      <c r="U87">
        <v>0</v>
      </c>
      <c r="V87">
        <v>0</v>
      </c>
    </row>
    <row r="88" spans="1:22" x14ac:dyDescent="0.25">
      <c r="A88"/>
      <c r="B88">
        <v>11035</v>
      </c>
      <c r="C88" t="s">
        <v>135</v>
      </c>
      <c r="D88" t="s">
        <v>47</v>
      </c>
      <c r="E88" t="s">
        <v>436</v>
      </c>
      <c r="F88" t="s">
        <v>101</v>
      </c>
      <c r="G88">
        <v>2332.46</v>
      </c>
      <c r="H88" t="s">
        <v>451</v>
      </c>
      <c r="I88">
        <v>0</v>
      </c>
      <c r="J88">
        <v>0</v>
      </c>
      <c r="K88">
        <v>0</v>
      </c>
      <c r="L88">
        <v>0</v>
      </c>
      <c r="M88" t="s">
        <v>101</v>
      </c>
      <c r="N88">
        <v>2332.46</v>
      </c>
      <c r="O88" t="s">
        <v>451</v>
      </c>
      <c r="P88" t="b">
        <v>1</v>
      </c>
      <c r="Q88">
        <v>2332.4588337708747</v>
      </c>
      <c r="R88">
        <v>500</v>
      </c>
      <c r="S88">
        <v>3.3324588337708745</v>
      </c>
      <c r="T88">
        <v>0</v>
      </c>
      <c r="U88">
        <v>0</v>
      </c>
      <c r="V88">
        <v>0</v>
      </c>
    </row>
    <row r="89" spans="1:22" x14ac:dyDescent="0.25">
      <c r="A89"/>
      <c r="B89">
        <v>11036</v>
      </c>
      <c r="C89" t="s">
        <v>136</v>
      </c>
      <c r="D89" t="s">
        <v>47</v>
      </c>
      <c r="E89" t="s">
        <v>436</v>
      </c>
      <c r="F89" t="s">
        <v>101</v>
      </c>
      <c r="G89">
        <v>2347.3200000000002</v>
      </c>
      <c r="H89" t="s">
        <v>451</v>
      </c>
      <c r="I89">
        <v>0</v>
      </c>
      <c r="J89">
        <v>0</v>
      </c>
      <c r="K89">
        <v>0</v>
      </c>
      <c r="L89">
        <v>0</v>
      </c>
      <c r="M89" t="s">
        <v>101</v>
      </c>
      <c r="N89">
        <v>2347.3200000000002</v>
      </c>
      <c r="O89" t="s">
        <v>451</v>
      </c>
      <c r="P89" t="b">
        <v>1</v>
      </c>
      <c r="Q89">
        <v>2347.3188263408802</v>
      </c>
      <c r="R89">
        <v>500</v>
      </c>
      <c r="S89">
        <v>3.3473188263408802</v>
      </c>
      <c r="T89">
        <v>0</v>
      </c>
      <c r="U89">
        <v>0</v>
      </c>
      <c r="V89">
        <v>0</v>
      </c>
    </row>
    <row r="90" spans="1:22" x14ac:dyDescent="0.25">
      <c r="A90"/>
      <c r="B90">
        <v>11037</v>
      </c>
      <c r="C90" t="s">
        <v>137</v>
      </c>
      <c r="D90" t="s">
        <v>47</v>
      </c>
      <c r="E90" t="s">
        <v>436</v>
      </c>
      <c r="F90" t="s">
        <v>101</v>
      </c>
      <c r="G90">
        <v>2350.3200000000002</v>
      </c>
      <c r="H90" t="s">
        <v>451</v>
      </c>
      <c r="I90">
        <v>0</v>
      </c>
      <c r="J90">
        <v>0</v>
      </c>
      <c r="K90">
        <v>0</v>
      </c>
      <c r="L90">
        <v>0</v>
      </c>
      <c r="M90" t="s">
        <v>101</v>
      </c>
      <c r="N90">
        <v>2350.3200000000002</v>
      </c>
      <c r="O90" t="s">
        <v>451</v>
      </c>
      <c r="P90" t="b">
        <v>1</v>
      </c>
      <c r="Q90">
        <v>2350.3188248408815</v>
      </c>
      <c r="R90">
        <v>500</v>
      </c>
      <c r="S90">
        <v>3.3503188248408815</v>
      </c>
      <c r="T90">
        <v>0</v>
      </c>
      <c r="U90">
        <v>0</v>
      </c>
      <c r="V90">
        <v>0</v>
      </c>
    </row>
    <row r="91" spans="1:22" x14ac:dyDescent="0.25">
      <c r="A91"/>
      <c r="B91">
        <v>11038</v>
      </c>
      <c r="C91" t="s">
        <v>138</v>
      </c>
      <c r="D91" t="s">
        <v>47</v>
      </c>
      <c r="E91" t="s">
        <v>436</v>
      </c>
      <c r="F91" t="s">
        <v>101</v>
      </c>
      <c r="G91">
        <v>2370.2399999999898</v>
      </c>
      <c r="H91" t="s">
        <v>451</v>
      </c>
      <c r="I91">
        <v>0</v>
      </c>
      <c r="J91">
        <v>0</v>
      </c>
      <c r="K91">
        <v>0</v>
      </c>
      <c r="L91">
        <v>0</v>
      </c>
      <c r="M91" t="s">
        <v>101</v>
      </c>
      <c r="N91">
        <v>2370.2399999999898</v>
      </c>
      <c r="O91" t="s">
        <v>451</v>
      </c>
      <c r="P91" t="b">
        <v>1</v>
      </c>
      <c r="Q91">
        <v>2370.2388148808786</v>
      </c>
      <c r="R91">
        <v>500</v>
      </c>
      <c r="S91">
        <v>3.3702388148808784</v>
      </c>
      <c r="T91">
        <v>0</v>
      </c>
      <c r="U91">
        <v>0</v>
      </c>
      <c r="V91">
        <v>0</v>
      </c>
    </row>
    <row r="92" spans="1:22" x14ac:dyDescent="0.25">
      <c r="A92"/>
      <c r="B92">
        <v>11039</v>
      </c>
      <c r="C92" t="s">
        <v>139</v>
      </c>
      <c r="D92" t="s">
        <v>47</v>
      </c>
      <c r="E92" t="s">
        <v>436</v>
      </c>
      <c r="F92" t="s">
        <v>101</v>
      </c>
      <c r="G92">
        <v>2373.2399999999898</v>
      </c>
      <c r="H92" t="s">
        <v>451</v>
      </c>
      <c r="I92">
        <v>0</v>
      </c>
      <c r="J92">
        <v>0</v>
      </c>
      <c r="K92">
        <v>0</v>
      </c>
      <c r="L92">
        <v>0</v>
      </c>
      <c r="M92" t="s">
        <v>101</v>
      </c>
      <c r="N92">
        <v>2373.2399999999898</v>
      </c>
      <c r="O92" t="s">
        <v>451</v>
      </c>
      <c r="P92" t="b">
        <v>1</v>
      </c>
      <c r="Q92">
        <v>2373.2388133808795</v>
      </c>
      <c r="R92">
        <v>500</v>
      </c>
      <c r="S92">
        <v>3.3732388133808797</v>
      </c>
      <c r="T92">
        <v>0</v>
      </c>
      <c r="U92">
        <v>0</v>
      </c>
      <c r="V92">
        <v>0</v>
      </c>
    </row>
    <row r="93" spans="1:22" x14ac:dyDescent="0.25">
      <c r="A93"/>
      <c r="B93">
        <v>11040</v>
      </c>
      <c r="C93" t="s">
        <v>140</v>
      </c>
      <c r="D93" t="s">
        <v>47</v>
      </c>
      <c r="E93" t="s">
        <v>436</v>
      </c>
      <c r="F93" t="s">
        <v>101</v>
      </c>
      <c r="G93">
        <v>2431.2600000000002</v>
      </c>
      <c r="H93" t="s">
        <v>451</v>
      </c>
      <c r="I93">
        <v>0</v>
      </c>
      <c r="J93">
        <v>0</v>
      </c>
      <c r="K93">
        <v>0</v>
      </c>
      <c r="L93">
        <v>0</v>
      </c>
      <c r="M93" t="s">
        <v>101</v>
      </c>
      <c r="N93">
        <v>2431.2600000000002</v>
      </c>
      <c r="O93" t="s">
        <v>451</v>
      </c>
      <c r="P93" t="b">
        <v>1</v>
      </c>
      <c r="Q93">
        <v>2431.2587843709121</v>
      </c>
      <c r="R93">
        <v>500</v>
      </c>
      <c r="S93">
        <v>3.4312587843709119</v>
      </c>
      <c r="T93">
        <v>0</v>
      </c>
      <c r="U93">
        <v>0</v>
      </c>
      <c r="V93">
        <v>0</v>
      </c>
    </row>
    <row r="94" spans="1:22" x14ac:dyDescent="0.25">
      <c r="A94"/>
      <c r="B94">
        <v>11041</v>
      </c>
      <c r="C94" t="s">
        <v>141</v>
      </c>
      <c r="D94" t="s">
        <v>47</v>
      </c>
      <c r="E94" t="s">
        <v>436</v>
      </c>
      <c r="F94" t="s">
        <v>101</v>
      </c>
      <c r="G94">
        <v>2466.36</v>
      </c>
      <c r="H94" t="s">
        <v>451</v>
      </c>
      <c r="I94">
        <v>0</v>
      </c>
      <c r="J94">
        <v>0</v>
      </c>
      <c r="K94">
        <v>0</v>
      </c>
      <c r="L94">
        <v>0</v>
      </c>
      <c r="M94" t="s">
        <v>101</v>
      </c>
      <c r="N94">
        <v>2466.36</v>
      </c>
      <c r="O94" t="s">
        <v>451</v>
      </c>
      <c r="P94" t="b">
        <v>1</v>
      </c>
      <c r="Q94">
        <v>2466.3587668209248</v>
      </c>
      <c r="R94">
        <v>500</v>
      </c>
      <c r="S94">
        <v>3.466358766820925</v>
      </c>
      <c r="T94">
        <v>0</v>
      </c>
      <c r="U94">
        <v>0</v>
      </c>
      <c r="V94">
        <v>0</v>
      </c>
    </row>
    <row r="95" spans="1:22" x14ac:dyDescent="0.25">
      <c r="A95"/>
      <c r="B95">
        <v>11042</v>
      </c>
      <c r="C95" t="s">
        <v>142</v>
      </c>
      <c r="D95" t="s">
        <v>47</v>
      </c>
      <c r="E95" t="s">
        <v>436</v>
      </c>
      <c r="F95" t="s">
        <v>101</v>
      </c>
      <c r="G95">
        <v>2469.36</v>
      </c>
      <c r="H95" t="s">
        <v>451</v>
      </c>
      <c r="I95">
        <v>0</v>
      </c>
      <c r="J95">
        <v>0</v>
      </c>
      <c r="K95">
        <v>0</v>
      </c>
      <c r="L95">
        <v>0</v>
      </c>
      <c r="M95" t="s">
        <v>101</v>
      </c>
      <c r="N95">
        <v>2469.36</v>
      </c>
      <c r="O95" t="s">
        <v>451</v>
      </c>
      <c r="P95" t="b">
        <v>1</v>
      </c>
      <c r="Q95">
        <v>2469.3587653209261</v>
      </c>
      <c r="R95">
        <v>500</v>
      </c>
      <c r="S95">
        <v>3.4693587653209259</v>
      </c>
      <c r="T95">
        <v>0</v>
      </c>
      <c r="U95">
        <v>0</v>
      </c>
      <c r="V95">
        <v>0</v>
      </c>
    </row>
    <row r="96" spans="1:22" x14ac:dyDescent="0.25">
      <c r="A96"/>
      <c r="B96">
        <v>11043</v>
      </c>
      <c r="C96" t="s">
        <v>143</v>
      </c>
      <c r="D96" t="s">
        <v>47</v>
      </c>
      <c r="E96" t="s">
        <v>436</v>
      </c>
      <c r="F96" t="s">
        <v>101</v>
      </c>
      <c r="G96">
        <v>2489.2800000000002</v>
      </c>
      <c r="H96" t="s">
        <v>451</v>
      </c>
      <c r="I96">
        <v>0</v>
      </c>
      <c r="J96">
        <v>0</v>
      </c>
      <c r="K96">
        <v>0</v>
      </c>
      <c r="L96">
        <v>0</v>
      </c>
      <c r="M96" t="s">
        <v>101</v>
      </c>
      <c r="N96">
        <v>2489.2800000000002</v>
      </c>
      <c r="O96" t="s">
        <v>451</v>
      </c>
      <c r="P96" t="b">
        <v>1</v>
      </c>
      <c r="Q96">
        <v>2489.2787553609337</v>
      </c>
      <c r="R96">
        <v>500</v>
      </c>
      <c r="S96">
        <v>3.4892787553609335</v>
      </c>
      <c r="T96">
        <v>0</v>
      </c>
      <c r="U96">
        <v>0</v>
      </c>
      <c r="V96">
        <v>0</v>
      </c>
    </row>
    <row r="97" spans="1:22" x14ac:dyDescent="0.25">
      <c r="A97"/>
      <c r="B97">
        <v>11044</v>
      </c>
      <c r="C97" t="s">
        <v>144</v>
      </c>
      <c r="D97" t="s">
        <v>47</v>
      </c>
      <c r="E97" t="s">
        <v>436</v>
      </c>
      <c r="F97" t="s">
        <v>101</v>
      </c>
      <c r="G97">
        <v>2492.2800000000002</v>
      </c>
      <c r="H97" t="s">
        <v>451</v>
      </c>
      <c r="I97">
        <v>0</v>
      </c>
      <c r="J97">
        <v>0</v>
      </c>
      <c r="K97">
        <v>0</v>
      </c>
      <c r="L97">
        <v>0</v>
      </c>
      <c r="M97" t="s">
        <v>101</v>
      </c>
      <c r="N97">
        <v>2492.2800000000002</v>
      </c>
      <c r="O97" t="s">
        <v>451</v>
      </c>
      <c r="P97" t="b">
        <v>1</v>
      </c>
      <c r="Q97">
        <v>2492.2787538609346</v>
      </c>
      <c r="R97">
        <v>500</v>
      </c>
      <c r="S97">
        <v>3.4922787538609348</v>
      </c>
      <c r="T97">
        <v>0</v>
      </c>
      <c r="U97">
        <v>0</v>
      </c>
      <c r="V97">
        <v>0</v>
      </c>
    </row>
    <row r="98" spans="1:22" x14ac:dyDescent="0.25">
      <c r="A98"/>
      <c r="B98">
        <v>11045</v>
      </c>
      <c r="C98" t="s">
        <v>145</v>
      </c>
      <c r="D98" t="s">
        <v>47</v>
      </c>
      <c r="E98" t="s">
        <v>436</v>
      </c>
      <c r="F98" t="s">
        <v>101</v>
      </c>
      <c r="G98">
        <v>2544.6999999999898</v>
      </c>
      <c r="H98" t="s">
        <v>451</v>
      </c>
      <c r="I98">
        <v>0</v>
      </c>
      <c r="J98">
        <v>0</v>
      </c>
      <c r="K98">
        <v>0</v>
      </c>
      <c r="L98">
        <v>0</v>
      </c>
      <c r="M98" t="s">
        <v>101</v>
      </c>
      <c r="N98">
        <v>2544.6999999999898</v>
      </c>
      <c r="O98" t="s">
        <v>451</v>
      </c>
      <c r="P98" t="b">
        <v>1</v>
      </c>
      <c r="Q98">
        <v>2544.698727650944</v>
      </c>
      <c r="R98">
        <v>500</v>
      </c>
      <c r="S98">
        <v>3.5446987276509438</v>
      </c>
      <c r="T98">
        <v>0</v>
      </c>
      <c r="U98">
        <v>0</v>
      </c>
      <c r="V98">
        <v>0</v>
      </c>
    </row>
    <row r="99" spans="1:22" x14ac:dyDescent="0.25">
      <c r="A99"/>
      <c r="B99">
        <v>11046</v>
      </c>
      <c r="C99" t="s">
        <v>146</v>
      </c>
      <c r="D99" t="s">
        <v>47</v>
      </c>
      <c r="E99" t="s">
        <v>436</v>
      </c>
      <c r="F99" t="s">
        <v>101</v>
      </c>
      <c r="G99">
        <v>2625</v>
      </c>
      <c r="H99" t="s">
        <v>451</v>
      </c>
      <c r="I99">
        <v>0</v>
      </c>
      <c r="J99">
        <v>0</v>
      </c>
      <c r="K99">
        <v>0</v>
      </c>
      <c r="L99">
        <v>0</v>
      </c>
      <c r="M99" t="s">
        <v>101</v>
      </c>
      <c r="N99">
        <v>2625</v>
      </c>
      <c r="O99" t="s">
        <v>451</v>
      </c>
      <c r="P99" t="b">
        <v>1</v>
      </c>
      <c r="Q99">
        <v>2624.9986875009845</v>
      </c>
      <c r="R99">
        <v>500</v>
      </c>
      <c r="S99">
        <v>3.6249986875009843</v>
      </c>
      <c r="T99">
        <v>0</v>
      </c>
      <c r="U99">
        <v>0</v>
      </c>
      <c r="V99">
        <v>0</v>
      </c>
    </row>
    <row r="100" spans="1:22" x14ac:dyDescent="0.25">
      <c r="A100"/>
      <c r="B100">
        <v>11047</v>
      </c>
      <c r="C100" t="s">
        <v>147</v>
      </c>
      <c r="D100" t="s">
        <v>47</v>
      </c>
      <c r="E100" t="s">
        <v>436</v>
      </c>
      <c r="F100" t="s">
        <v>101</v>
      </c>
      <c r="G100">
        <v>2646</v>
      </c>
      <c r="H100" t="s">
        <v>451</v>
      </c>
      <c r="I100">
        <v>0</v>
      </c>
      <c r="J100">
        <v>0</v>
      </c>
      <c r="K100">
        <v>0</v>
      </c>
      <c r="L100">
        <v>0</v>
      </c>
      <c r="M100" t="s">
        <v>101</v>
      </c>
      <c r="N100">
        <v>2646</v>
      </c>
      <c r="O100" t="s">
        <v>451</v>
      </c>
      <c r="P100" t="b">
        <v>1</v>
      </c>
      <c r="Q100">
        <v>2645.9986770009923</v>
      </c>
      <c r="R100">
        <v>500</v>
      </c>
      <c r="S100">
        <v>3.6459986770009922</v>
      </c>
      <c r="T100">
        <v>0</v>
      </c>
      <c r="U100">
        <v>0</v>
      </c>
      <c r="V100">
        <v>0</v>
      </c>
    </row>
    <row r="101" spans="1:22" x14ac:dyDescent="0.25">
      <c r="A101"/>
      <c r="B101">
        <v>11048</v>
      </c>
      <c r="C101" t="s">
        <v>148</v>
      </c>
      <c r="D101" t="s">
        <v>47</v>
      </c>
      <c r="E101" t="s">
        <v>436</v>
      </c>
      <c r="F101" t="s">
        <v>101</v>
      </c>
      <c r="G101">
        <v>2826</v>
      </c>
      <c r="H101" t="s">
        <v>451</v>
      </c>
      <c r="I101">
        <v>0</v>
      </c>
      <c r="J101">
        <v>0</v>
      </c>
      <c r="K101">
        <v>0</v>
      </c>
      <c r="L101">
        <v>0</v>
      </c>
      <c r="M101" t="s">
        <v>101</v>
      </c>
      <c r="N101">
        <v>2826</v>
      </c>
      <c r="O101" t="s">
        <v>451</v>
      </c>
      <c r="P101" t="b">
        <v>1</v>
      </c>
      <c r="Q101">
        <v>2825.9985870010596</v>
      </c>
      <c r="R101">
        <v>500</v>
      </c>
      <c r="S101">
        <v>3.8259985870010595</v>
      </c>
      <c r="T101">
        <v>0</v>
      </c>
      <c r="U101">
        <v>0</v>
      </c>
      <c r="V101">
        <v>0</v>
      </c>
    </row>
    <row r="102" spans="1:22" x14ac:dyDescent="0.25">
      <c r="A102"/>
      <c r="B102">
        <v>11049</v>
      </c>
      <c r="C102" t="s">
        <v>149</v>
      </c>
      <c r="D102" t="s">
        <v>47</v>
      </c>
      <c r="E102" t="s">
        <v>436</v>
      </c>
      <c r="F102" t="s">
        <v>101</v>
      </c>
      <c r="G102">
        <v>3006</v>
      </c>
      <c r="H102" t="s">
        <v>451</v>
      </c>
      <c r="I102">
        <v>0</v>
      </c>
      <c r="J102">
        <v>0</v>
      </c>
      <c r="K102">
        <v>0</v>
      </c>
      <c r="L102">
        <v>0</v>
      </c>
      <c r="M102" t="s">
        <v>101</v>
      </c>
      <c r="N102">
        <v>3006</v>
      </c>
      <c r="O102" t="s">
        <v>451</v>
      </c>
      <c r="P102" t="b">
        <v>1</v>
      </c>
      <c r="Q102">
        <v>3005.9984970011274</v>
      </c>
      <c r="R102">
        <v>500</v>
      </c>
      <c r="S102">
        <v>4.0059984970011273</v>
      </c>
      <c r="T102">
        <v>0</v>
      </c>
      <c r="U102">
        <v>0</v>
      </c>
      <c r="V102">
        <v>0</v>
      </c>
    </row>
    <row r="103" spans="1:22" x14ac:dyDescent="0.25">
      <c r="A103"/>
      <c r="B103">
        <v>11050</v>
      </c>
      <c r="C103" t="s">
        <v>150</v>
      </c>
      <c r="D103" t="s">
        <v>47</v>
      </c>
      <c r="E103" t="s">
        <v>436</v>
      </c>
      <c r="F103" t="s">
        <v>101</v>
      </c>
      <c r="G103">
        <v>3062</v>
      </c>
      <c r="H103" t="s">
        <v>451</v>
      </c>
      <c r="I103">
        <v>0</v>
      </c>
      <c r="J103">
        <v>0</v>
      </c>
      <c r="K103">
        <v>0</v>
      </c>
      <c r="L103">
        <v>0</v>
      </c>
      <c r="M103" t="s">
        <v>101</v>
      </c>
      <c r="N103">
        <v>3062</v>
      </c>
      <c r="O103" t="s">
        <v>451</v>
      </c>
      <c r="P103" t="b">
        <v>1</v>
      </c>
      <c r="Q103">
        <v>3061.9984690011484</v>
      </c>
      <c r="R103">
        <v>500</v>
      </c>
      <c r="S103">
        <v>4.0619984690011481</v>
      </c>
      <c r="T103">
        <v>0</v>
      </c>
      <c r="U103">
        <v>0</v>
      </c>
      <c r="V103">
        <v>0</v>
      </c>
    </row>
    <row r="104" spans="1:22" x14ac:dyDescent="0.25">
      <c r="A104"/>
      <c r="B104">
        <v>11051</v>
      </c>
      <c r="C104" t="s">
        <v>151</v>
      </c>
      <c r="D104" t="s">
        <v>47</v>
      </c>
      <c r="E104" t="s">
        <v>436</v>
      </c>
      <c r="F104" t="s">
        <v>101</v>
      </c>
      <c r="G104">
        <v>3182</v>
      </c>
      <c r="H104" t="s">
        <v>451</v>
      </c>
      <c r="I104">
        <v>0</v>
      </c>
      <c r="J104">
        <v>0</v>
      </c>
      <c r="K104">
        <v>0</v>
      </c>
      <c r="L104">
        <v>0</v>
      </c>
      <c r="M104" t="s">
        <v>101</v>
      </c>
      <c r="N104">
        <v>3182</v>
      </c>
      <c r="O104" t="s">
        <v>451</v>
      </c>
      <c r="P104" t="b">
        <v>1</v>
      </c>
      <c r="Q104">
        <v>3181.9984090011931</v>
      </c>
      <c r="R104">
        <v>500</v>
      </c>
      <c r="S104">
        <v>4.181998409001193</v>
      </c>
      <c r="T104">
        <v>0</v>
      </c>
      <c r="U104">
        <v>0</v>
      </c>
      <c r="V104">
        <v>0</v>
      </c>
    </row>
    <row r="105" spans="1:22" x14ac:dyDescent="0.25">
      <c r="A105"/>
      <c r="B105">
        <v>11052</v>
      </c>
      <c r="C105" t="s">
        <v>152</v>
      </c>
      <c r="D105" t="s">
        <v>47</v>
      </c>
      <c r="E105" t="s">
        <v>436</v>
      </c>
      <c r="F105" t="s">
        <v>101</v>
      </c>
      <c r="G105">
        <v>3203</v>
      </c>
      <c r="H105" t="s">
        <v>451</v>
      </c>
      <c r="I105">
        <v>0</v>
      </c>
      <c r="J105">
        <v>0</v>
      </c>
      <c r="K105">
        <v>0</v>
      </c>
      <c r="L105">
        <v>0</v>
      </c>
      <c r="M105" t="s">
        <v>101</v>
      </c>
      <c r="N105">
        <v>3203</v>
      </c>
      <c r="O105" t="s">
        <v>451</v>
      </c>
      <c r="P105" t="b">
        <v>1</v>
      </c>
      <c r="Q105">
        <v>3202.9983985012009</v>
      </c>
      <c r="R105">
        <v>500</v>
      </c>
      <c r="S105">
        <v>4.2029983985012009</v>
      </c>
      <c r="T105">
        <v>0</v>
      </c>
      <c r="U105">
        <v>0</v>
      </c>
      <c r="V105">
        <v>0</v>
      </c>
    </row>
    <row r="106" spans="1:22" x14ac:dyDescent="0.25">
      <c r="A106"/>
      <c r="B106">
        <v>11053</v>
      </c>
      <c r="C106" t="s">
        <v>153</v>
      </c>
      <c r="D106" t="s">
        <v>47</v>
      </c>
      <c r="E106" t="s">
        <v>436</v>
      </c>
      <c r="F106" t="s">
        <v>101</v>
      </c>
      <c r="G106">
        <v>3299.2199999999898</v>
      </c>
      <c r="H106" t="s">
        <v>451</v>
      </c>
      <c r="I106">
        <v>0</v>
      </c>
      <c r="J106">
        <v>0</v>
      </c>
      <c r="K106">
        <v>0</v>
      </c>
      <c r="L106">
        <v>0</v>
      </c>
      <c r="M106" t="s">
        <v>101</v>
      </c>
      <c r="N106">
        <v>3299.2199999999898</v>
      </c>
      <c r="O106" t="s">
        <v>451</v>
      </c>
      <c r="P106" t="b">
        <v>1</v>
      </c>
      <c r="Q106">
        <v>3299.218350391227</v>
      </c>
      <c r="R106">
        <v>500</v>
      </c>
      <c r="S106">
        <v>4.2992183503912269</v>
      </c>
      <c r="T106">
        <v>0</v>
      </c>
      <c r="U106">
        <v>0</v>
      </c>
      <c r="V106">
        <v>0</v>
      </c>
    </row>
    <row r="107" spans="1:22" x14ac:dyDescent="0.25">
      <c r="A107"/>
      <c r="B107">
        <v>11054</v>
      </c>
      <c r="C107" t="s">
        <v>154</v>
      </c>
      <c r="D107" t="s">
        <v>47</v>
      </c>
      <c r="E107" t="s">
        <v>436</v>
      </c>
      <c r="F107" t="s">
        <v>101</v>
      </c>
      <c r="G107">
        <v>3314.0799999999899</v>
      </c>
      <c r="H107" t="s">
        <v>451</v>
      </c>
      <c r="I107">
        <v>0</v>
      </c>
      <c r="J107">
        <v>0</v>
      </c>
      <c r="K107">
        <v>0</v>
      </c>
      <c r="L107">
        <v>0</v>
      </c>
      <c r="M107" t="s">
        <v>101</v>
      </c>
      <c r="N107">
        <v>3314.0799999999899</v>
      </c>
      <c r="O107" t="s">
        <v>451</v>
      </c>
      <c r="P107" t="b">
        <v>1</v>
      </c>
      <c r="Q107">
        <v>3314.0783429612325</v>
      </c>
      <c r="R107">
        <v>500</v>
      </c>
      <c r="S107">
        <v>4.314078342961233</v>
      </c>
      <c r="T107">
        <v>0</v>
      </c>
      <c r="U107">
        <v>0</v>
      </c>
      <c r="V107">
        <v>0</v>
      </c>
    </row>
    <row r="108" spans="1:22" x14ac:dyDescent="0.25">
      <c r="A108"/>
      <c r="B108">
        <v>11055</v>
      </c>
      <c r="C108" t="s">
        <v>155</v>
      </c>
      <c r="D108" t="s">
        <v>47</v>
      </c>
      <c r="E108" t="s">
        <v>436</v>
      </c>
      <c r="F108" t="s">
        <v>101</v>
      </c>
      <c r="G108">
        <v>3317.0799999999899</v>
      </c>
      <c r="H108" t="s">
        <v>451</v>
      </c>
      <c r="I108">
        <v>0</v>
      </c>
      <c r="J108">
        <v>0</v>
      </c>
      <c r="K108">
        <v>0</v>
      </c>
      <c r="L108">
        <v>0</v>
      </c>
      <c r="M108" t="s">
        <v>101</v>
      </c>
      <c r="N108">
        <v>3317.0799999999899</v>
      </c>
      <c r="O108" t="s">
        <v>451</v>
      </c>
      <c r="P108" t="b">
        <v>1</v>
      </c>
      <c r="Q108">
        <v>3317.0783414612338</v>
      </c>
      <c r="R108">
        <v>500</v>
      </c>
      <c r="S108">
        <v>4.3170783414612339</v>
      </c>
      <c r="T108">
        <v>0</v>
      </c>
      <c r="U108">
        <v>0</v>
      </c>
      <c r="V108">
        <v>0</v>
      </c>
    </row>
    <row r="109" spans="1:22" x14ac:dyDescent="0.25">
      <c r="A109"/>
      <c r="B109">
        <v>11056</v>
      </c>
      <c r="C109" t="s">
        <v>156</v>
      </c>
      <c r="D109" t="s">
        <v>47</v>
      </c>
      <c r="E109" t="s">
        <v>436</v>
      </c>
      <c r="F109" t="s">
        <v>101</v>
      </c>
      <c r="G109">
        <v>3337</v>
      </c>
      <c r="H109" t="s">
        <v>451</v>
      </c>
      <c r="I109">
        <v>0</v>
      </c>
      <c r="J109">
        <v>0</v>
      </c>
      <c r="K109">
        <v>0</v>
      </c>
      <c r="L109">
        <v>0</v>
      </c>
      <c r="M109" t="s">
        <v>101</v>
      </c>
      <c r="N109">
        <v>3337</v>
      </c>
      <c r="O109" t="s">
        <v>451</v>
      </c>
      <c r="P109" t="b">
        <v>1</v>
      </c>
      <c r="Q109">
        <v>3336.9983315012514</v>
      </c>
      <c r="R109">
        <v>500</v>
      </c>
      <c r="S109">
        <v>4.3369983315012508</v>
      </c>
      <c r="T109">
        <v>0</v>
      </c>
      <c r="U109">
        <v>0</v>
      </c>
      <c r="V109">
        <v>0</v>
      </c>
    </row>
    <row r="110" spans="1:22" x14ac:dyDescent="0.25">
      <c r="A110"/>
      <c r="B110">
        <v>11057</v>
      </c>
      <c r="C110" t="s">
        <v>157</v>
      </c>
      <c r="D110" t="s">
        <v>47</v>
      </c>
      <c r="E110" t="s">
        <v>436</v>
      </c>
      <c r="F110" t="s">
        <v>101</v>
      </c>
      <c r="G110">
        <v>3340</v>
      </c>
      <c r="H110" t="s">
        <v>451</v>
      </c>
      <c r="I110">
        <v>0</v>
      </c>
      <c r="J110">
        <v>0</v>
      </c>
      <c r="K110">
        <v>0</v>
      </c>
      <c r="L110">
        <v>0</v>
      </c>
      <c r="M110" t="s">
        <v>101</v>
      </c>
      <c r="N110">
        <v>3340</v>
      </c>
      <c r="O110" t="s">
        <v>451</v>
      </c>
      <c r="P110" t="b">
        <v>1</v>
      </c>
      <c r="Q110">
        <v>3339.9983300012523</v>
      </c>
      <c r="R110">
        <v>500</v>
      </c>
      <c r="S110">
        <v>4.3399983300012526</v>
      </c>
      <c r="T110">
        <v>0</v>
      </c>
      <c r="U110">
        <v>0</v>
      </c>
      <c r="V110">
        <v>0</v>
      </c>
    </row>
    <row r="111" spans="1:22" x14ac:dyDescent="0.25">
      <c r="A111"/>
      <c r="B111">
        <v>11058</v>
      </c>
      <c r="C111" t="s">
        <v>158</v>
      </c>
      <c r="D111" t="s">
        <v>47</v>
      </c>
      <c r="E111" t="s">
        <v>436</v>
      </c>
      <c r="F111" t="s">
        <v>101</v>
      </c>
      <c r="G111">
        <v>3398.01999999999</v>
      </c>
      <c r="H111" t="s">
        <v>451</v>
      </c>
      <c r="I111">
        <v>0</v>
      </c>
      <c r="J111">
        <v>0</v>
      </c>
      <c r="K111">
        <v>0</v>
      </c>
      <c r="L111">
        <v>0</v>
      </c>
      <c r="M111" t="s">
        <v>101</v>
      </c>
      <c r="N111">
        <v>3398.01999999999</v>
      </c>
      <c r="O111" t="s">
        <v>451</v>
      </c>
      <c r="P111" t="b">
        <v>1</v>
      </c>
      <c r="Q111">
        <v>3398.0183009912639</v>
      </c>
      <c r="R111">
        <v>500</v>
      </c>
      <c r="S111">
        <v>4.3980183009912643</v>
      </c>
      <c r="T111">
        <v>0</v>
      </c>
      <c r="U111">
        <v>0</v>
      </c>
      <c r="V111">
        <v>0</v>
      </c>
    </row>
    <row r="112" spans="1:22" x14ac:dyDescent="0.25">
      <c r="A112"/>
      <c r="B112">
        <v>11059</v>
      </c>
      <c r="C112" t="s">
        <v>159</v>
      </c>
      <c r="D112" t="s">
        <v>47</v>
      </c>
      <c r="E112" t="s">
        <v>436</v>
      </c>
      <c r="F112" t="s">
        <v>101</v>
      </c>
      <c r="G112">
        <v>3433.1199999999899</v>
      </c>
      <c r="H112" t="s">
        <v>451</v>
      </c>
      <c r="I112">
        <v>0</v>
      </c>
      <c r="J112">
        <v>0</v>
      </c>
      <c r="K112">
        <v>0</v>
      </c>
      <c r="L112">
        <v>0</v>
      </c>
      <c r="M112" t="s">
        <v>101</v>
      </c>
      <c r="N112">
        <v>3433.1199999999899</v>
      </c>
      <c r="O112" t="s">
        <v>451</v>
      </c>
      <c r="P112" t="b">
        <v>1</v>
      </c>
      <c r="Q112">
        <v>3433.1182834412771</v>
      </c>
      <c r="R112">
        <v>500</v>
      </c>
      <c r="S112">
        <v>4.4331182834412779</v>
      </c>
      <c r="T112">
        <v>0</v>
      </c>
      <c r="U112">
        <v>0</v>
      </c>
      <c r="V112">
        <v>0</v>
      </c>
    </row>
    <row r="113" spans="1:22" x14ac:dyDescent="0.25">
      <c r="A113"/>
      <c r="B113">
        <v>11060</v>
      </c>
      <c r="C113" t="s">
        <v>160</v>
      </c>
      <c r="D113" t="s">
        <v>47</v>
      </c>
      <c r="E113" t="s">
        <v>436</v>
      </c>
      <c r="F113" t="s">
        <v>101</v>
      </c>
      <c r="G113">
        <v>3436.1199999999899</v>
      </c>
      <c r="H113" t="s">
        <v>451</v>
      </c>
      <c r="I113">
        <v>0</v>
      </c>
      <c r="J113">
        <v>0</v>
      </c>
      <c r="K113">
        <v>0</v>
      </c>
      <c r="L113">
        <v>0</v>
      </c>
      <c r="M113" t="s">
        <v>101</v>
      </c>
      <c r="N113">
        <v>3436.1199999999899</v>
      </c>
      <c r="O113" t="s">
        <v>451</v>
      </c>
      <c r="P113" t="b">
        <v>1</v>
      </c>
      <c r="Q113">
        <v>3436.1182819412784</v>
      </c>
      <c r="R113">
        <v>500</v>
      </c>
      <c r="S113">
        <v>4.4361182819412779</v>
      </c>
      <c r="T113">
        <v>0</v>
      </c>
      <c r="U113">
        <v>0</v>
      </c>
      <c r="V113">
        <v>0</v>
      </c>
    </row>
    <row r="114" spans="1:22" x14ac:dyDescent="0.25">
      <c r="A114"/>
      <c r="B114">
        <v>11061</v>
      </c>
      <c r="C114" t="s">
        <v>161</v>
      </c>
      <c r="D114" t="s">
        <v>47</v>
      </c>
      <c r="E114" t="s">
        <v>436</v>
      </c>
      <c r="F114" t="s">
        <v>101</v>
      </c>
      <c r="G114">
        <v>3456.03999999999</v>
      </c>
      <c r="H114" t="s">
        <v>451</v>
      </c>
      <c r="I114">
        <v>0</v>
      </c>
      <c r="J114">
        <v>0</v>
      </c>
      <c r="K114">
        <v>0</v>
      </c>
      <c r="L114">
        <v>0</v>
      </c>
      <c r="M114" t="s">
        <v>101</v>
      </c>
      <c r="N114">
        <v>3456.03999999999</v>
      </c>
      <c r="O114" t="s">
        <v>451</v>
      </c>
      <c r="P114" t="b">
        <v>1</v>
      </c>
      <c r="Q114">
        <v>3456.038271981286</v>
      </c>
      <c r="R114">
        <v>500</v>
      </c>
      <c r="S114">
        <v>4.4560382719812859</v>
      </c>
      <c r="T114">
        <v>0</v>
      </c>
      <c r="U114">
        <v>0</v>
      </c>
      <c r="V114">
        <v>0</v>
      </c>
    </row>
    <row r="115" spans="1:22" x14ac:dyDescent="0.25">
      <c r="A115"/>
      <c r="B115">
        <v>11062</v>
      </c>
      <c r="C115" t="s">
        <v>162</v>
      </c>
      <c r="D115" t="s">
        <v>47</v>
      </c>
      <c r="E115" t="s">
        <v>436</v>
      </c>
      <c r="F115" t="s">
        <v>101</v>
      </c>
      <c r="G115">
        <v>3459.03999999999</v>
      </c>
      <c r="H115" t="s">
        <v>451</v>
      </c>
      <c r="I115">
        <v>0</v>
      </c>
      <c r="J115">
        <v>0</v>
      </c>
      <c r="K115">
        <v>0</v>
      </c>
      <c r="L115">
        <v>0</v>
      </c>
      <c r="M115" t="s">
        <v>101</v>
      </c>
      <c r="N115">
        <v>3459.03999999999</v>
      </c>
      <c r="O115" t="s">
        <v>451</v>
      </c>
      <c r="P115" t="b">
        <v>1</v>
      </c>
      <c r="Q115">
        <v>3459.0382704812869</v>
      </c>
      <c r="R115">
        <v>500</v>
      </c>
      <c r="S115">
        <v>4.4590382704812868</v>
      </c>
      <c r="T115">
        <v>0</v>
      </c>
      <c r="U115">
        <v>0</v>
      </c>
      <c r="V115">
        <v>0</v>
      </c>
    </row>
    <row r="116" spans="1:22" x14ac:dyDescent="0.25">
      <c r="A116"/>
      <c r="B116">
        <v>11063</v>
      </c>
      <c r="C116" t="s">
        <v>163</v>
      </c>
      <c r="D116" t="s">
        <v>47</v>
      </c>
      <c r="E116" t="s">
        <v>436</v>
      </c>
      <c r="F116" t="s">
        <v>101</v>
      </c>
      <c r="G116">
        <v>3511.46</v>
      </c>
      <c r="H116" t="s">
        <v>451</v>
      </c>
      <c r="I116">
        <v>0</v>
      </c>
      <c r="J116">
        <v>0</v>
      </c>
      <c r="K116">
        <v>0</v>
      </c>
      <c r="L116">
        <v>0</v>
      </c>
      <c r="M116" t="s">
        <v>101</v>
      </c>
      <c r="N116">
        <v>3511.46</v>
      </c>
      <c r="O116" t="s">
        <v>451</v>
      </c>
      <c r="P116" t="b">
        <v>1</v>
      </c>
      <c r="Q116">
        <v>3511.4582442713167</v>
      </c>
      <c r="R116">
        <v>500</v>
      </c>
      <c r="S116">
        <v>4.5114582442713171</v>
      </c>
      <c r="T116">
        <v>0</v>
      </c>
      <c r="U116">
        <v>0</v>
      </c>
      <c r="V116">
        <v>0</v>
      </c>
    </row>
    <row r="117" spans="1:22" x14ac:dyDescent="0.25">
      <c r="A117"/>
      <c r="B117">
        <v>11064</v>
      </c>
      <c r="C117" t="s">
        <v>164</v>
      </c>
      <c r="D117" t="s">
        <v>47</v>
      </c>
      <c r="E117" t="s">
        <v>436</v>
      </c>
      <c r="F117" t="s">
        <v>101</v>
      </c>
      <c r="G117">
        <v>3593</v>
      </c>
      <c r="H117" t="s">
        <v>451</v>
      </c>
      <c r="I117">
        <v>0</v>
      </c>
      <c r="J117">
        <v>0</v>
      </c>
      <c r="K117">
        <v>0</v>
      </c>
      <c r="L117">
        <v>0</v>
      </c>
      <c r="M117" t="s">
        <v>101</v>
      </c>
      <c r="N117">
        <v>3593</v>
      </c>
      <c r="O117" t="s">
        <v>451</v>
      </c>
      <c r="P117" t="b">
        <v>1</v>
      </c>
      <c r="Q117">
        <v>3592.9982035013472</v>
      </c>
      <c r="R117">
        <v>500</v>
      </c>
      <c r="S117">
        <v>4.592998203501347</v>
      </c>
      <c r="T117">
        <v>0</v>
      </c>
      <c r="U117">
        <v>0</v>
      </c>
      <c r="V117">
        <v>0</v>
      </c>
    </row>
    <row r="118" spans="1:22" x14ac:dyDescent="0.25">
      <c r="A118"/>
      <c r="B118">
        <v>11065</v>
      </c>
      <c r="C118" t="s">
        <v>165</v>
      </c>
      <c r="D118" t="s">
        <v>47</v>
      </c>
      <c r="E118" t="s">
        <v>436</v>
      </c>
      <c r="F118" t="s">
        <v>101</v>
      </c>
      <c r="G118">
        <v>3614</v>
      </c>
      <c r="H118" t="s">
        <v>451</v>
      </c>
      <c r="I118">
        <v>0</v>
      </c>
      <c r="J118">
        <v>0</v>
      </c>
      <c r="K118">
        <v>0</v>
      </c>
      <c r="L118">
        <v>0</v>
      </c>
      <c r="M118" t="s">
        <v>101</v>
      </c>
      <c r="N118">
        <v>3614</v>
      </c>
      <c r="O118" t="s">
        <v>451</v>
      </c>
      <c r="P118" t="b">
        <v>1</v>
      </c>
      <c r="Q118">
        <v>3613.998193001355</v>
      </c>
      <c r="R118">
        <v>500</v>
      </c>
      <c r="S118">
        <v>4.6139981930013558</v>
      </c>
      <c r="T118">
        <v>0</v>
      </c>
      <c r="U118">
        <v>0</v>
      </c>
      <c r="V118">
        <v>0</v>
      </c>
    </row>
    <row r="119" spans="1:22" x14ac:dyDescent="0.25">
      <c r="A119"/>
      <c r="B119">
        <v>11066</v>
      </c>
      <c r="C119" t="s">
        <v>166</v>
      </c>
      <c r="D119" t="s">
        <v>47</v>
      </c>
      <c r="E119" t="s">
        <v>436</v>
      </c>
      <c r="F119" t="s">
        <v>101</v>
      </c>
      <c r="G119">
        <v>3739</v>
      </c>
      <c r="H119" t="s">
        <v>451</v>
      </c>
      <c r="I119">
        <v>0</v>
      </c>
      <c r="J119">
        <v>0</v>
      </c>
      <c r="K119">
        <v>0</v>
      </c>
      <c r="L119">
        <v>0</v>
      </c>
      <c r="M119" t="s">
        <v>101</v>
      </c>
      <c r="N119">
        <v>3739</v>
      </c>
      <c r="O119" t="s">
        <v>451</v>
      </c>
      <c r="P119" t="b">
        <v>1</v>
      </c>
      <c r="Q119">
        <v>3738.9981305014021</v>
      </c>
      <c r="R119">
        <v>500</v>
      </c>
      <c r="S119">
        <v>4.7389981305014022</v>
      </c>
      <c r="T119">
        <v>0</v>
      </c>
      <c r="U119">
        <v>0</v>
      </c>
      <c r="V119">
        <v>0</v>
      </c>
    </row>
    <row r="120" spans="1:22" x14ac:dyDescent="0.25">
      <c r="A120"/>
      <c r="B120">
        <v>11067</v>
      </c>
      <c r="C120" t="s">
        <v>167</v>
      </c>
      <c r="D120" t="s">
        <v>47</v>
      </c>
      <c r="E120" t="s">
        <v>436</v>
      </c>
      <c r="F120" t="s">
        <v>101</v>
      </c>
      <c r="G120">
        <v>3939</v>
      </c>
      <c r="H120" t="s">
        <v>451</v>
      </c>
      <c r="I120">
        <v>0</v>
      </c>
      <c r="J120">
        <v>0</v>
      </c>
      <c r="K120">
        <v>0</v>
      </c>
      <c r="L120">
        <v>0</v>
      </c>
      <c r="M120" t="s">
        <v>101</v>
      </c>
      <c r="N120">
        <v>3939</v>
      </c>
      <c r="O120" t="s">
        <v>451</v>
      </c>
      <c r="P120" t="b">
        <v>1</v>
      </c>
      <c r="Q120">
        <v>3938.9980305014769</v>
      </c>
      <c r="R120">
        <v>500</v>
      </c>
      <c r="S120">
        <v>4.9389980305014767</v>
      </c>
      <c r="T120">
        <v>0</v>
      </c>
      <c r="U120">
        <v>0</v>
      </c>
      <c r="V120">
        <v>0</v>
      </c>
    </row>
    <row r="121" spans="1:22" x14ac:dyDescent="0.25">
      <c r="A121"/>
      <c r="B121">
        <v>11068</v>
      </c>
      <c r="C121" t="s">
        <v>168</v>
      </c>
      <c r="D121" t="s">
        <v>47</v>
      </c>
      <c r="E121" t="s">
        <v>436</v>
      </c>
      <c r="F121" t="s">
        <v>101</v>
      </c>
      <c r="G121">
        <v>4135</v>
      </c>
      <c r="H121" t="s">
        <v>451</v>
      </c>
      <c r="I121">
        <v>0</v>
      </c>
      <c r="J121">
        <v>0</v>
      </c>
      <c r="K121">
        <v>0</v>
      </c>
      <c r="L121">
        <v>0</v>
      </c>
      <c r="M121" t="s">
        <v>101</v>
      </c>
      <c r="N121">
        <v>4135</v>
      </c>
      <c r="O121" t="s">
        <v>451</v>
      </c>
      <c r="P121" t="b">
        <v>1</v>
      </c>
      <c r="Q121">
        <v>4134.9979325015502</v>
      </c>
      <c r="R121">
        <v>500</v>
      </c>
      <c r="S121">
        <v>5.1349979325015509</v>
      </c>
      <c r="T121">
        <v>0</v>
      </c>
      <c r="U121">
        <v>0</v>
      </c>
      <c r="V121">
        <v>0</v>
      </c>
    </row>
    <row r="122" spans="1:22" x14ac:dyDescent="0.25">
      <c r="A122"/>
      <c r="B122">
        <v>11069</v>
      </c>
      <c r="C122" t="s">
        <v>169</v>
      </c>
      <c r="D122" t="s">
        <v>47</v>
      </c>
      <c r="E122" t="s">
        <v>436</v>
      </c>
      <c r="F122" t="s">
        <v>101</v>
      </c>
      <c r="G122">
        <v>4255</v>
      </c>
      <c r="H122" t="s">
        <v>451</v>
      </c>
      <c r="I122">
        <v>0</v>
      </c>
      <c r="J122">
        <v>0</v>
      </c>
      <c r="K122">
        <v>0</v>
      </c>
      <c r="L122">
        <v>0</v>
      </c>
      <c r="M122" t="s">
        <v>101</v>
      </c>
      <c r="N122">
        <v>4255</v>
      </c>
      <c r="O122" t="s">
        <v>451</v>
      </c>
      <c r="P122" t="b">
        <v>1</v>
      </c>
      <c r="Q122">
        <v>4254.9978725015953</v>
      </c>
      <c r="R122">
        <v>500</v>
      </c>
      <c r="S122">
        <v>5.2549978725015958</v>
      </c>
      <c r="T122">
        <v>0</v>
      </c>
      <c r="U122">
        <v>0</v>
      </c>
      <c r="V122">
        <v>0</v>
      </c>
    </row>
    <row r="123" spans="1:22" x14ac:dyDescent="0.25">
      <c r="A123"/>
      <c r="B123">
        <v>11070</v>
      </c>
      <c r="C123" t="s">
        <v>170</v>
      </c>
      <c r="D123" t="s">
        <v>47</v>
      </c>
      <c r="E123" t="s">
        <v>436</v>
      </c>
      <c r="F123" t="s">
        <v>101</v>
      </c>
      <c r="G123">
        <v>4276</v>
      </c>
      <c r="H123" t="s">
        <v>451</v>
      </c>
      <c r="I123">
        <v>0</v>
      </c>
      <c r="J123">
        <v>0</v>
      </c>
      <c r="K123">
        <v>0</v>
      </c>
      <c r="L123">
        <v>0</v>
      </c>
      <c r="M123" t="s">
        <v>101</v>
      </c>
      <c r="N123">
        <v>4276</v>
      </c>
      <c r="O123" t="s">
        <v>451</v>
      </c>
      <c r="P123" t="b">
        <v>1</v>
      </c>
      <c r="Q123">
        <v>4275.9978620016036</v>
      </c>
      <c r="R123">
        <v>500</v>
      </c>
      <c r="S123">
        <v>5.2759978620016037</v>
      </c>
      <c r="T123">
        <v>0</v>
      </c>
      <c r="U123">
        <v>0</v>
      </c>
      <c r="V123">
        <v>0</v>
      </c>
    </row>
    <row r="124" spans="1:22" x14ac:dyDescent="0.25">
      <c r="A124"/>
      <c r="B124">
        <v>11071</v>
      </c>
      <c r="C124" t="s">
        <v>171</v>
      </c>
      <c r="D124" t="s">
        <v>47</v>
      </c>
      <c r="E124" t="s">
        <v>436</v>
      </c>
      <c r="F124" t="s">
        <v>101</v>
      </c>
      <c r="G124">
        <v>4371.92</v>
      </c>
      <c r="H124" t="s">
        <v>451</v>
      </c>
      <c r="I124">
        <v>0</v>
      </c>
      <c r="J124">
        <v>0</v>
      </c>
      <c r="K124">
        <v>0</v>
      </c>
      <c r="L124">
        <v>0</v>
      </c>
      <c r="M124" t="s">
        <v>101</v>
      </c>
      <c r="N124">
        <v>4371.92</v>
      </c>
      <c r="O124" t="s">
        <v>451</v>
      </c>
      <c r="P124" t="b">
        <v>1</v>
      </c>
      <c r="Q124">
        <v>4371.9178140416398</v>
      </c>
      <c r="R124">
        <v>500</v>
      </c>
      <c r="S124">
        <v>5.3719178140416393</v>
      </c>
      <c r="T124">
        <v>0</v>
      </c>
      <c r="U124">
        <v>0</v>
      </c>
      <c r="V124">
        <v>0</v>
      </c>
    </row>
    <row r="125" spans="1:22" x14ac:dyDescent="0.25">
      <c r="A125"/>
      <c r="B125">
        <v>11072</v>
      </c>
      <c r="C125" t="s">
        <v>172</v>
      </c>
      <c r="D125" t="s">
        <v>47</v>
      </c>
      <c r="E125" t="s">
        <v>436</v>
      </c>
      <c r="F125" t="s">
        <v>101</v>
      </c>
      <c r="G125">
        <v>4386.7799999999897</v>
      </c>
      <c r="H125" t="s">
        <v>451</v>
      </c>
      <c r="I125">
        <v>0</v>
      </c>
      <c r="J125">
        <v>0</v>
      </c>
      <c r="K125">
        <v>0</v>
      </c>
      <c r="L125">
        <v>0</v>
      </c>
      <c r="M125" t="s">
        <v>101</v>
      </c>
      <c r="N125">
        <v>4386.7799999999897</v>
      </c>
      <c r="O125" t="s">
        <v>451</v>
      </c>
      <c r="P125" t="b">
        <v>1</v>
      </c>
      <c r="Q125">
        <v>4386.7778066116343</v>
      </c>
      <c r="R125">
        <v>500</v>
      </c>
      <c r="S125">
        <v>5.3867778066116347</v>
      </c>
      <c r="T125">
        <v>0</v>
      </c>
      <c r="U125">
        <v>0</v>
      </c>
      <c r="V125">
        <v>0</v>
      </c>
    </row>
    <row r="126" spans="1:22" x14ac:dyDescent="0.25">
      <c r="A126"/>
      <c r="B126">
        <v>11073</v>
      </c>
      <c r="C126" t="s">
        <v>173</v>
      </c>
      <c r="D126" t="s">
        <v>47</v>
      </c>
      <c r="E126" t="s">
        <v>436</v>
      </c>
      <c r="F126" t="s">
        <v>101</v>
      </c>
      <c r="G126">
        <v>4389.7799999999897</v>
      </c>
      <c r="H126" t="s">
        <v>451</v>
      </c>
      <c r="I126">
        <v>0</v>
      </c>
      <c r="J126">
        <v>0</v>
      </c>
      <c r="K126">
        <v>0</v>
      </c>
      <c r="L126">
        <v>0</v>
      </c>
      <c r="M126" t="s">
        <v>101</v>
      </c>
      <c r="N126">
        <v>4389.7799999999897</v>
      </c>
      <c r="O126" t="s">
        <v>451</v>
      </c>
      <c r="P126" t="b">
        <v>1</v>
      </c>
      <c r="Q126">
        <v>4389.7778051116356</v>
      </c>
      <c r="R126">
        <v>500</v>
      </c>
      <c r="S126">
        <v>5.3897778051116356</v>
      </c>
      <c r="T126">
        <v>0</v>
      </c>
      <c r="U126">
        <v>0</v>
      </c>
      <c r="V126">
        <v>0</v>
      </c>
    </row>
    <row r="127" spans="1:22" x14ac:dyDescent="0.25">
      <c r="A127"/>
      <c r="B127">
        <v>11074</v>
      </c>
      <c r="C127" t="s">
        <v>174</v>
      </c>
      <c r="D127" t="s">
        <v>47</v>
      </c>
      <c r="E127" t="s">
        <v>436</v>
      </c>
      <c r="F127" t="s">
        <v>101</v>
      </c>
      <c r="G127">
        <v>4409.6999999999898</v>
      </c>
      <c r="H127" t="s">
        <v>451</v>
      </c>
      <c r="I127">
        <v>0</v>
      </c>
      <c r="J127">
        <v>0</v>
      </c>
      <c r="K127">
        <v>0</v>
      </c>
      <c r="L127">
        <v>0</v>
      </c>
      <c r="M127" t="s">
        <v>101</v>
      </c>
      <c r="N127">
        <v>4409.6999999999898</v>
      </c>
      <c r="O127" t="s">
        <v>451</v>
      </c>
      <c r="P127" t="b">
        <v>1</v>
      </c>
      <c r="Q127">
        <v>4409.6977951516437</v>
      </c>
      <c r="R127">
        <v>500</v>
      </c>
      <c r="S127">
        <v>5.4096977951516436</v>
      </c>
      <c r="T127">
        <v>0</v>
      </c>
      <c r="U127">
        <v>0</v>
      </c>
      <c r="V127">
        <v>0</v>
      </c>
    </row>
    <row r="128" spans="1:22" x14ac:dyDescent="0.25">
      <c r="A128"/>
      <c r="B128">
        <v>11075</v>
      </c>
      <c r="C128" t="s">
        <v>175</v>
      </c>
      <c r="D128" t="s">
        <v>47</v>
      </c>
      <c r="E128" t="s">
        <v>436</v>
      </c>
      <c r="F128" t="s">
        <v>101</v>
      </c>
      <c r="G128">
        <v>4412.6999999999898</v>
      </c>
      <c r="H128" t="s">
        <v>451</v>
      </c>
      <c r="I128">
        <v>0</v>
      </c>
      <c r="J128">
        <v>0</v>
      </c>
      <c r="K128">
        <v>0</v>
      </c>
      <c r="L128">
        <v>0</v>
      </c>
      <c r="M128" t="s">
        <v>101</v>
      </c>
      <c r="N128">
        <v>4412.6999999999898</v>
      </c>
      <c r="O128" t="s">
        <v>451</v>
      </c>
      <c r="P128" t="b">
        <v>1</v>
      </c>
      <c r="Q128">
        <v>4412.6977936516441</v>
      </c>
      <c r="R128">
        <v>500</v>
      </c>
      <c r="S128">
        <v>5.4126977936516445</v>
      </c>
      <c r="T128">
        <v>0</v>
      </c>
      <c r="U128">
        <v>0</v>
      </c>
      <c r="V128">
        <v>0</v>
      </c>
    </row>
    <row r="129" spans="1:22" x14ac:dyDescent="0.25">
      <c r="A129"/>
      <c r="B129">
        <v>11076</v>
      </c>
      <c r="C129" t="s">
        <v>176</v>
      </c>
      <c r="D129" t="s">
        <v>47</v>
      </c>
      <c r="E129" t="s">
        <v>436</v>
      </c>
      <c r="F129" t="s">
        <v>101</v>
      </c>
      <c r="G129">
        <v>4470.72</v>
      </c>
      <c r="H129" t="s">
        <v>451</v>
      </c>
      <c r="I129">
        <v>0</v>
      </c>
      <c r="J129">
        <v>0</v>
      </c>
      <c r="K129">
        <v>0</v>
      </c>
      <c r="L129">
        <v>0</v>
      </c>
      <c r="M129" t="s">
        <v>101</v>
      </c>
      <c r="N129">
        <v>4470.72</v>
      </c>
      <c r="O129" t="s">
        <v>451</v>
      </c>
      <c r="P129" t="b">
        <v>1</v>
      </c>
      <c r="Q129">
        <v>4470.7177646416767</v>
      </c>
      <c r="R129">
        <v>500</v>
      </c>
      <c r="S129">
        <v>5.4707177646416767</v>
      </c>
      <c r="T129">
        <v>0</v>
      </c>
      <c r="U129">
        <v>0</v>
      </c>
      <c r="V129">
        <v>0</v>
      </c>
    </row>
    <row r="130" spans="1:22" x14ac:dyDescent="0.25">
      <c r="A130"/>
      <c r="B130">
        <v>11077</v>
      </c>
      <c r="C130" t="s">
        <v>177</v>
      </c>
      <c r="D130" t="s">
        <v>47</v>
      </c>
      <c r="E130" t="s">
        <v>436</v>
      </c>
      <c r="F130" t="s">
        <v>101</v>
      </c>
      <c r="G130">
        <v>4505.8199999999897</v>
      </c>
      <c r="H130" t="s">
        <v>451</v>
      </c>
      <c r="I130">
        <v>0</v>
      </c>
      <c r="J130">
        <v>0</v>
      </c>
      <c r="K130">
        <v>0</v>
      </c>
      <c r="L130">
        <v>0</v>
      </c>
      <c r="M130" t="s">
        <v>101</v>
      </c>
      <c r="N130">
        <v>4505.8199999999897</v>
      </c>
      <c r="O130" t="s">
        <v>451</v>
      </c>
      <c r="P130" t="b">
        <v>1</v>
      </c>
      <c r="Q130">
        <v>4505.8177470916789</v>
      </c>
      <c r="R130">
        <v>500</v>
      </c>
      <c r="S130">
        <v>5.5058177470916796</v>
      </c>
      <c r="T130">
        <v>0</v>
      </c>
      <c r="U130">
        <v>0</v>
      </c>
      <c r="V130">
        <v>0</v>
      </c>
    </row>
    <row r="131" spans="1:22" x14ac:dyDescent="0.25">
      <c r="A131"/>
      <c r="B131">
        <v>11078</v>
      </c>
      <c r="C131" t="s">
        <v>178</v>
      </c>
      <c r="D131" t="s">
        <v>47</v>
      </c>
      <c r="E131" t="s">
        <v>436</v>
      </c>
      <c r="F131" t="s">
        <v>101</v>
      </c>
      <c r="G131">
        <v>4508.8199999999897</v>
      </c>
      <c r="H131" t="s">
        <v>451</v>
      </c>
      <c r="I131">
        <v>0</v>
      </c>
      <c r="J131">
        <v>0</v>
      </c>
      <c r="K131">
        <v>0</v>
      </c>
      <c r="L131">
        <v>0</v>
      </c>
      <c r="M131" t="s">
        <v>101</v>
      </c>
      <c r="N131">
        <v>4508.8199999999897</v>
      </c>
      <c r="O131" t="s">
        <v>451</v>
      </c>
      <c r="P131" t="b">
        <v>1</v>
      </c>
      <c r="Q131">
        <v>4508.8177455916803</v>
      </c>
      <c r="R131">
        <v>500</v>
      </c>
      <c r="S131">
        <v>5.5088177455916805</v>
      </c>
      <c r="T131">
        <v>0</v>
      </c>
      <c r="U131">
        <v>0</v>
      </c>
      <c r="V131">
        <v>0</v>
      </c>
    </row>
    <row r="132" spans="1:22" x14ac:dyDescent="0.25">
      <c r="A132"/>
      <c r="B132">
        <v>11079</v>
      </c>
      <c r="C132" t="s">
        <v>179</v>
      </c>
      <c r="D132" t="s">
        <v>47</v>
      </c>
      <c r="E132" t="s">
        <v>436</v>
      </c>
      <c r="F132" t="s">
        <v>101</v>
      </c>
      <c r="G132">
        <v>4528.7399999999898</v>
      </c>
      <c r="H132" t="s">
        <v>451</v>
      </c>
      <c r="I132">
        <v>0</v>
      </c>
      <c r="J132">
        <v>0</v>
      </c>
      <c r="K132">
        <v>0</v>
      </c>
      <c r="L132">
        <v>0</v>
      </c>
      <c r="M132" t="s">
        <v>101</v>
      </c>
      <c r="N132">
        <v>4528.7399999999898</v>
      </c>
      <c r="O132" t="s">
        <v>451</v>
      </c>
      <c r="P132" t="b">
        <v>1</v>
      </c>
      <c r="Q132">
        <v>4528.7377356316883</v>
      </c>
      <c r="R132">
        <v>500</v>
      </c>
      <c r="S132">
        <v>5.5287377356316876</v>
      </c>
      <c r="T132">
        <v>0</v>
      </c>
      <c r="U132">
        <v>0</v>
      </c>
      <c r="V132">
        <v>0</v>
      </c>
    </row>
    <row r="133" spans="1:22" x14ac:dyDescent="0.25">
      <c r="A133"/>
      <c r="B133">
        <v>11080</v>
      </c>
      <c r="C133" t="s">
        <v>180</v>
      </c>
      <c r="D133" t="s">
        <v>47</v>
      </c>
      <c r="E133" t="s">
        <v>436</v>
      </c>
      <c r="F133" t="s">
        <v>101</v>
      </c>
      <c r="G133">
        <v>4531.7399999999898</v>
      </c>
      <c r="H133" t="s">
        <v>451</v>
      </c>
      <c r="I133">
        <v>0</v>
      </c>
      <c r="J133">
        <v>0</v>
      </c>
      <c r="K133">
        <v>0</v>
      </c>
      <c r="L133">
        <v>0</v>
      </c>
      <c r="M133" t="s">
        <v>101</v>
      </c>
      <c r="N133">
        <v>4531.7399999999898</v>
      </c>
      <c r="O133" t="s">
        <v>451</v>
      </c>
      <c r="P133" t="b">
        <v>1</v>
      </c>
      <c r="Q133">
        <v>4531.7377341316887</v>
      </c>
      <c r="R133">
        <v>500</v>
      </c>
      <c r="S133">
        <v>5.5317377341316893</v>
      </c>
      <c r="T133">
        <v>0</v>
      </c>
      <c r="U133">
        <v>0</v>
      </c>
      <c r="V133">
        <v>0</v>
      </c>
    </row>
    <row r="134" spans="1:22" x14ac:dyDescent="0.25">
      <c r="A134"/>
      <c r="B134">
        <v>11081</v>
      </c>
      <c r="C134" t="s">
        <v>181</v>
      </c>
      <c r="D134" t="s">
        <v>47</v>
      </c>
      <c r="E134" t="s">
        <v>436</v>
      </c>
      <c r="F134" t="s">
        <v>101</v>
      </c>
      <c r="G134">
        <v>4584.1599999999899</v>
      </c>
      <c r="H134" t="s">
        <v>451</v>
      </c>
      <c r="I134">
        <v>0</v>
      </c>
      <c r="J134">
        <v>0</v>
      </c>
      <c r="K134">
        <v>0</v>
      </c>
      <c r="L134">
        <v>0</v>
      </c>
      <c r="M134" t="s">
        <v>101</v>
      </c>
      <c r="N134">
        <v>4584.1599999999899</v>
      </c>
      <c r="O134" t="s">
        <v>451</v>
      </c>
      <c r="P134" t="b">
        <v>1</v>
      </c>
      <c r="Q134">
        <v>4584.1577079217086</v>
      </c>
      <c r="R134">
        <v>500</v>
      </c>
      <c r="S134">
        <v>5.5841577079217091</v>
      </c>
      <c r="T134">
        <v>0</v>
      </c>
      <c r="U134">
        <v>0</v>
      </c>
      <c r="V134">
        <v>0</v>
      </c>
    </row>
    <row r="135" spans="1:22" x14ac:dyDescent="0.25">
      <c r="A135"/>
      <c r="B135">
        <v>11082</v>
      </c>
      <c r="C135" t="s">
        <v>182</v>
      </c>
      <c r="D135" t="s">
        <v>47</v>
      </c>
      <c r="E135" t="s">
        <v>436</v>
      </c>
      <c r="F135" t="s">
        <v>101</v>
      </c>
      <c r="G135">
        <v>4667</v>
      </c>
      <c r="H135" t="s">
        <v>451</v>
      </c>
      <c r="I135">
        <v>0</v>
      </c>
      <c r="J135">
        <v>0</v>
      </c>
      <c r="K135">
        <v>0</v>
      </c>
      <c r="L135">
        <v>0</v>
      </c>
      <c r="M135" t="s">
        <v>101</v>
      </c>
      <c r="N135">
        <v>4667</v>
      </c>
      <c r="O135" t="s">
        <v>451</v>
      </c>
      <c r="P135" t="b">
        <v>1</v>
      </c>
      <c r="Q135">
        <v>4666.9976665017502</v>
      </c>
      <c r="R135">
        <v>500</v>
      </c>
      <c r="S135">
        <v>5.6669976665017501</v>
      </c>
      <c r="T135">
        <v>0</v>
      </c>
      <c r="U135">
        <v>0</v>
      </c>
      <c r="V135">
        <v>0</v>
      </c>
    </row>
    <row r="136" spans="1:22" x14ac:dyDescent="0.25">
      <c r="A136"/>
      <c r="B136">
        <v>11083</v>
      </c>
      <c r="C136" t="s">
        <v>183</v>
      </c>
      <c r="D136" t="s">
        <v>47</v>
      </c>
      <c r="E136" t="s">
        <v>436</v>
      </c>
      <c r="F136" t="s">
        <v>101</v>
      </c>
      <c r="G136">
        <v>4688</v>
      </c>
      <c r="H136" t="s">
        <v>451</v>
      </c>
      <c r="I136">
        <v>0</v>
      </c>
      <c r="J136">
        <v>0</v>
      </c>
      <c r="K136">
        <v>0</v>
      </c>
      <c r="L136">
        <v>0</v>
      </c>
      <c r="M136" t="s">
        <v>101</v>
      </c>
      <c r="N136">
        <v>4688</v>
      </c>
      <c r="O136" t="s">
        <v>451</v>
      </c>
      <c r="P136" t="b">
        <v>1</v>
      </c>
      <c r="Q136">
        <v>4687.9976560017576</v>
      </c>
      <c r="R136">
        <v>500</v>
      </c>
      <c r="S136">
        <v>5.687997656001758</v>
      </c>
      <c r="T136">
        <v>0</v>
      </c>
      <c r="U136">
        <v>0</v>
      </c>
      <c r="V136">
        <v>0</v>
      </c>
    </row>
    <row r="137" spans="1:22" x14ac:dyDescent="0.25">
      <c r="A137"/>
      <c r="B137">
        <v>11084</v>
      </c>
      <c r="C137" t="s">
        <v>184</v>
      </c>
      <c r="D137" t="s">
        <v>47</v>
      </c>
      <c r="E137" t="s">
        <v>436</v>
      </c>
      <c r="F137" t="s">
        <v>101</v>
      </c>
      <c r="G137">
        <v>4808</v>
      </c>
      <c r="H137" t="s">
        <v>451</v>
      </c>
      <c r="I137">
        <v>0</v>
      </c>
      <c r="J137">
        <v>0</v>
      </c>
      <c r="K137">
        <v>0</v>
      </c>
      <c r="L137">
        <v>0</v>
      </c>
      <c r="M137" t="s">
        <v>101</v>
      </c>
      <c r="N137">
        <v>4808</v>
      </c>
      <c r="O137" t="s">
        <v>451</v>
      </c>
      <c r="P137" t="b">
        <v>1</v>
      </c>
      <c r="Q137">
        <v>4807.9975960018028</v>
      </c>
      <c r="R137">
        <v>500</v>
      </c>
      <c r="S137">
        <v>5.8079975960018029</v>
      </c>
      <c r="T137">
        <v>0</v>
      </c>
      <c r="U137">
        <v>0</v>
      </c>
      <c r="V137">
        <v>0</v>
      </c>
    </row>
    <row r="138" spans="1:22" x14ac:dyDescent="0.25">
      <c r="A138"/>
      <c r="B138">
        <v>11085</v>
      </c>
      <c r="C138" t="s">
        <v>185</v>
      </c>
      <c r="D138" t="s">
        <v>47</v>
      </c>
      <c r="E138" t="s">
        <v>436</v>
      </c>
      <c r="F138" t="s">
        <v>101</v>
      </c>
      <c r="G138">
        <v>4988</v>
      </c>
      <c r="H138" t="s">
        <v>451</v>
      </c>
      <c r="I138">
        <v>0</v>
      </c>
      <c r="J138">
        <v>0</v>
      </c>
      <c r="K138">
        <v>0</v>
      </c>
      <c r="L138">
        <v>0</v>
      </c>
      <c r="M138" t="s">
        <v>101</v>
      </c>
      <c r="N138">
        <v>4988</v>
      </c>
      <c r="O138" t="s">
        <v>451</v>
      </c>
      <c r="P138" t="b">
        <v>1</v>
      </c>
      <c r="Q138">
        <v>4987.9975060018705</v>
      </c>
      <c r="R138">
        <v>500</v>
      </c>
      <c r="S138">
        <v>5.9879975060018706</v>
      </c>
      <c r="T138">
        <v>0</v>
      </c>
      <c r="U138">
        <v>0</v>
      </c>
      <c r="V138">
        <v>0</v>
      </c>
    </row>
    <row r="139" spans="1:22" x14ac:dyDescent="0.25">
      <c r="A139"/>
      <c r="B139">
        <v>11086</v>
      </c>
      <c r="C139" t="s">
        <v>186</v>
      </c>
      <c r="D139" t="s">
        <v>47</v>
      </c>
      <c r="E139" t="s">
        <v>436</v>
      </c>
      <c r="F139" t="s">
        <v>101</v>
      </c>
      <c r="G139">
        <v>5168</v>
      </c>
      <c r="H139" t="s">
        <v>451</v>
      </c>
      <c r="I139">
        <v>0</v>
      </c>
      <c r="J139">
        <v>0</v>
      </c>
      <c r="K139">
        <v>0</v>
      </c>
      <c r="L139">
        <v>0</v>
      </c>
      <c r="M139" t="s">
        <v>101</v>
      </c>
      <c r="N139">
        <v>5168</v>
      </c>
      <c r="O139" t="s">
        <v>451</v>
      </c>
      <c r="P139" t="b">
        <v>1</v>
      </c>
      <c r="Q139">
        <v>5167.9974160019374</v>
      </c>
      <c r="R139">
        <v>500</v>
      </c>
      <c r="S139">
        <v>6.1679974160019375</v>
      </c>
      <c r="T139">
        <v>0</v>
      </c>
      <c r="U139">
        <v>0</v>
      </c>
      <c r="V139">
        <v>0</v>
      </c>
    </row>
    <row r="140" spans="1:22" x14ac:dyDescent="0.25">
      <c r="A140"/>
      <c r="B140">
        <v>11087</v>
      </c>
      <c r="C140" t="s">
        <v>187</v>
      </c>
      <c r="D140" t="s">
        <v>47</v>
      </c>
      <c r="E140" t="s">
        <v>436</v>
      </c>
      <c r="F140" t="s">
        <v>101</v>
      </c>
      <c r="G140">
        <v>5238</v>
      </c>
      <c r="H140" t="s">
        <v>451</v>
      </c>
      <c r="I140">
        <v>0</v>
      </c>
      <c r="J140">
        <v>0</v>
      </c>
      <c r="K140">
        <v>0</v>
      </c>
      <c r="L140">
        <v>0</v>
      </c>
      <c r="M140" t="s">
        <v>101</v>
      </c>
      <c r="N140">
        <v>5238</v>
      </c>
      <c r="O140" t="s">
        <v>451</v>
      </c>
      <c r="P140" t="b">
        <v>1</v>
      </c>
      <c r="Q140">
        <v>5237.9973810019637</v>
      </c>
      <c r="R140">
        <v>500</v>
      </c>
      <c r="S140">
        <v>6.2379973810019642</v>
      </c>
      <c r="T140">
        <v>0</v>
      </c>
      <c r="U140">
        <v>0</v>
      </c>
      <c r="V140">
        <v>0</v>
      </c>
    </row>
    <row r="141" spans="1:22" x14ac:dyDescent="0.25">
      <c r="A141"/>
      <c r="B141">
        <v>11088</v>
      </c>
      <c r="C141" t="s">
        <v>188</v>
      </c>
      <c r="D141" t="s">
        <v>47</v>
      </c>
      <c r="E141" t="s">
        <v>436</v>
      </c>
      <c r="F141" t="s">
        <v>101</v>
      </c>
      <c r="G141">
        <v>5358</v>
      </c>
      <c r="H141" t="s">
        <v>451</v>
      </c>
      <c r="I141">
        <v>0</v>
      </c>
      <c r="J141">
        <v>0</v>
      </c>
      <c r="K141">
        <v>0</v>
      </c>
      <c r="L141">
        <v>0</v>
      </c>
      <c r="M141" t="s">
        <v>101</v>
      </c>
      <c r="N141">
        <v>5358</v>
      </c>
      <c r="O141" t="s">
        <v>451</v>
      </c>
      <c r="P141" t="b">
        <v>1</v>
      </c>
      <c r="Q141">
        <v>5357.9973210020089</v>
      </c>
      <c r="R141">
        <v>500</v>
      </c>
      <c r="S141">
        <v>6.3579973210020091</v>
      </c>
      <c r="T141">
        <v>0</v>
      </c>
      <c r="U141">
        <v>0</v>
      </c>
      <c r="V141">
        <v>0</v>
      </c>
    </row>
    <row r="142" spans="1:22" x14ac:dyDescent="0.25">
      <c r="A142"/>
      <c r="B142">
        <v>11089</v>
      </c>
      <c r="C142" t="s">
        <v>189</v>
      </c>
      <c r="D142" t="s">
        <v>47</v>
      </c>
      <c r="E142" t="s">
        <v>436</v>
      </c>
      <c r="F142" t="s">
        <v>101</v>
      </c>
      <c r="G142">
        <v>5379</v>
      </c>
      <c r="H142" t="s">
        <v>451</v>
      </c>
      <c r="I142">
        <v>0</v>
      </c>
      <c r="J142">
        <v>0</v>
      </c>
      <c r="K142">
        <v>0</v>
      </c>
      <c r="L142">
        <v>0</v>
      </c>
      <c r="M142" t="s">
        <v>101</v>
      </c>
      <c r="N142">
        <v>5379</v>
      </c>
      <c r="O142" t="s">
        <v>451</v>
      </c>
      <c r="P142" t="b">
        <v>1</v>
      </c>
      <c r="Q142">
        <v>5378.9973105020172</v>
      </c>
      <c r="R142">
        <v>500</v>
      </c>
      <c r="S142">
        <v>6.378997310502017</v>
      </c>
      <c r="T142">
        <v>0</v>
      </c>
      <c r="U142">
        <v>0</v>
      </c>
      <c r="V142">
        <v>0</v>
      </c>
    </row>
    <row r="143" spans="1:22" x14ac:dyDescent="0.25">
      <c r="A143"/>
      <c r="B143">
        <v>11090</v>
      </c>
      <c r="C143" t="s">
        <v>190</v>
      </c>
      <c r="D143" t="s">
        <v>47</v>
      </c>
      <c r="E143" t="s">
        <v>436</v>
      </c>
      <c r="F143" t="s">
        <v>101</v>
      </c>
      <c r="G143">
        <v>5453.5299999999897</v>
      </c>
      <c r="H143" t="s">
        <v>451</v>
      </c>
      <c r="I143">
        <v>0</v>
      </c>
      <c r="J143">
        <v>0</v>
      </c>
      <c r="K143">
        <v>0</v>
      </c>
      <c r="L143">
        <v>0</v>
      </c>
      <c r="M143" t="s">
        <v>101</v>
      </c>
      <c r="N143">
        <v>5453.5299999999897</v>
      </c>
      <c r="O143" t="s">
        <v>451</v>
      </c>
      <c r="P143" t="b">
        <v>1</v>
      </c>
      <c r="Q143">
        <v>5453.5272732370349</v>
      </c>
      <c r="R143">
        <v>500</v>
      </c>
      <c r="S143">
        <v>6.453527273237035</v>
      </c>
      <c r="T143">
        <v>0</v>
      </c>
      <c r="U143">
        <v>0</v>
      </c>
      <c r="V143">
        <v>0</v>
      </c>
    </row>
    <row r="144" spans="1:22" x14ac:dyDescent="0.25">
      <c r="A144"/>
      <c r="B144">
        <v>11091</v>
      </c>
      <c r="C144" t="s">
        <v>191</v>
      </c>
      <c r="D144" t="s">
        <v>47</v>
      </c>
      <c r="E144" t="s">
        <v>436</v>
      </c>
      <c r="F144" t="s">
        <v>101</v>
      </c>
      <c r="G144">
        <v>5468.39</v>
      </c>
      <c r="H144" t="s">
        <v>451</v>
      </c>
      <c r="I144">
        <v>0</v>
      </c>
      <c r="J144">
        <v>0</v>
      </c>
      <c r="K144">
        <v>0</v>
      </c>
      <c r="L144">
        <v>0</v>
      </c>
      <c r="M144" t="s">
        <v>101</v>
      </c>
      <c r="N144">
        <v>5468.39</v>
      </c>
      <c r="O144" t="s">
        <v>451</v>
      </c>
      <c r="P144" t="b">
        <v>1</v>
      </c>
      <c r="Q144">
        <v>5468.3872658070504</v>
      </c>
      <c r="R144">
        <v>500</v>
      </c>
      <c r="S144">
        <v>6.4683872658070509</v>
      </c>
      <c r="T144">
        <v>0</v>
      </c>
      <c r="U144">
        <v>0</v>
      </c>
      <c r="V144">
        <v>0</v>
      </c>
    </row>
    <row r="145" spans="1:22" x14ac:dyDescent="0.25">
      <c r="A145"/>
      <c r="B145">
        <v>11092</v>
      </c>
      <c r="C145" t="s">
        <v>192</v>
      </c>
      <c r="D145" t="s">
        <v>47</v>
      </c>
      <c r="E145" t="s">
        <v>436</v>
      </c>
      <c r="F145" t="s">
        <v>101</v>
      </c>
      <c r="G145">
        <v>5471.39</v>
      </c>
      <c r="H145" t="s">
        <v>451</v>
      </c>
      <c r="I145">
        <v>0</v>
      </c>
      <c r="J145">
        <v>0</v>
      </c>
      <c r="K145">
        <v>0</v>
      </c>
      <c r="L145">
        <v>0</v>
      </c>
      <c r="M145" t="s">
        <v>101</v>
      </c>
      <c r="N145">
        <v>5471.39</v>
      </c>
      <c r="O145" t="s">
        <v>451</v>
      </c>
      <c r="P145" t="b">
        <v>1</v>
      </c>
      <c r="Q145">
        <v>5471.3872643070517</v>
      </c>
      <c r="R145">
        <v>500</v>
      </c>
      <c r="S145">
        <v>6.4713872643070518</v>
      </c>
      <c r="T145">
        <v>0</v>
      </c>
      <c r="U145">
        <v>0</v>
      </c>
      <c r="V145">
        <v>0</v>
      </c>
    </row>
    <row r="146" spans="1:22" x14ac:dyDescent="0.25">
      <c r="A146"/>
      <c r="B146">
        <v>11093</v>
      </c>
      <c r="C146" t="s">
        <v>193</v>
      </c>
      <c r="D146" t="s">
        <v>47</v>
      </c>
      <c r="E146" t="s">
        <v>436</v>
      </c>
      <c r="F146" t="s">
        <v>101</v>
      </c>
      <c r="G146">
        <v>5491.31</v>
      </c>
      <c r="H146" t="s">
        <v>451</v>
      </c>
      <c r="I146">
        <v>0</v>
      </c>
      <c r="J146">
        <v>0</v>
      </c>
      <c r="K146">
        <v>0</v>
      </c>
      <c r="L146">
        <v>0</v>
      </c>
      <c r="M146" t="s">
        <v>101</v>
      </c>
      <c r="N146">
        <v>5491.31</v>
      </c>
      <c r="O146" t="s">
        <v>451</v>
      </c>
      <c r="P146" t="b">
        <v>1</v>
      </c>
      <c r="Q146">
        <v>5491.3072543470598</v>
      </c>
      <c r="R146">
        <v>500</v>
      </c>
      <c r="S146">
        <v>6.4913072543470598</v>
      </c>
      <c r="T146">
        <v>0</v>
      </c>
      <c r="U146">
        <v>0</v>
      </c>
      <c r="V146">
        <v>0</v>
      </c>
    </row>
    <row r="147" spans="1:22" x14ac:dyDescent="0.25">
      <c r="A147"/>
      <c r="B147">
        <v>11094</v>
      </c>
      <c r="C147" t="s">
        <v>194</v>
      </c>
      <c r="D147" t="s">
        <v>47</v>
      </c>
      <c r="E147" t="s">
        <v>436</v>
      </c>
      <c r="F147" t="s">
        <v>101</v>
      </c>
      <c r="G147">
        <v>5494.31</v>
      </c>
      <c r="H147" t="s">
        <v>451</v>
      </c>
      <c r="I147">
        <v>0</v>
      </c>
      <c r="J147">
        <v>0</v>
      </c>
      <c r="K147">
        <v>0</v>
      </c>
      <c r="L147">
        <v>0</v>
      </c>
      <c r="M147" t="s">
        <v>101</v>
      </c>
      <c r="N147">
        <v>5494.31</v>
      </c>
      <c r="O147" t="s">
        <v>451</v>
      </c>
      <c r="P147" t="b">
        <v>1</v>
      </c>
      <c r="Q147">
        <v>5494.3072528470602</v>
      </c>
      <c r="R147">
        <v>500</v>
      </c>
      <c r="S147">
        <v>6.4943072528470607</v>
      </c>
      <c r="T147">
        <v>0</v>
      </c>
      <c r="U147">
        <v>0</v>
      </c>
      <c r="V147">
        <v>0</v>
      </c>
    </row>
    <row r="148" spans="1:22" x14ac:dyDescent="0.25">
      <c r="A148"/>
      <c r="B148">
        <v>11095</v>
      </c>
      <c r="C148" t="s">
        <v>195</v>
      </c>
      <c r="D148" t="s">
        <v>47</v>
      </c>
      <c r="E148" t="s">
        <v>436</v>
      </c>
      <c r="F148" t="s">
        <v>101</v>
      </c>
      <c r="G148">
        <v>5552.3299999999899</v>
      </c>
      <c r="H148" t="s">
        <v>451</v>
      </c>
      <c r="I148">
        <v>0</v>
      </c>
      <c r="J148">
        <v>0</v>
      </c>
      <c r="K148">
        <v>0</v>
      </c>
      <c r="L148">
        <v>0</v>
      </c>
      <c r="M148" t="s">
        <v>101</v>
      </c>
      <c r="N148">
        <v>5552.3299999999899</v>
      </c>
      <c r="O148" t="s">
        <v>451</v>
      </c>
      <c r="P148" t="b">
        <v>1</v>
      </c>
      <c r="Q148">
        <v>5552.3272238370719</v>
      </c>
      <c r="R148">
        <v>500</v>
      </c>
      <c r="S148">
        <v>6.5523272238370716</v>
      </c>
      <c r="T148">
        <v>0</v>
      </c>
      <c r="U148">
        <v>0</v>
      </c>
      <c r="V148">
        <v>0</v>
      </c>
    </row>
    <row r="149" spans="1:22" x14ac:dyDescent="0.25">
      <c r="A149"/>
      <c r="B149">
        <v>11096</v>
      </c>
      <c r="C149" t="s">
        <v>196</v>
      </c>
      <c r="D149" t="s">
        <v>47</v>
      </c>
      <c r="E149" t="s">
        <v>436</v>
      </c>
      <c r="F149" t="s">
        <v>101</v>
      </c>
      <c r="G149">
        <v>5587.43</v>
      </c>
      <c r="H149" t="s">
        <v>451</v>
      </c>
      <c r="I149">
        <v>0</v>
      </c>
      <c r="J149">
        <v>0</v>
      </c>
      <c r="K149">
        <v>0</v>
      </c>
      <c r="L149">
        <v>0</v>
      </c>
      <c r="M149" t="s">
        <v>101</v>
      </c>
      <c r="N149">
        <v>5587.43</v>
      </c>
      <c r="O149" t="s">
        <v>451</v>
      </c>
      <c r="P149" t="b">
        <v>1</v>
      </c>
      <c r="Q149">
        <v>5587.427206287095</v>
      </c>
      <c r="R149">
        <v>500</v>
      </c>
      <c r="S149">
        <v>6.5874272062870958</v>
      </c>
      <c r="T149">
        <v>0</v>
      </c>
      <c r="U149">
        <v>0</v>
      </c>
      <c r="V149">
        <v>0</v>
      </c>
    </row>
    <row r="150" spans="1:22" x14ac:dyDescent="0.25">
      <c r="A150"/>
      <c r="B150">
        <v>11097</v>
      </c>
      <c r="C150" t="s">
        <v>197</v>
      </c>
      <c r="D150" t="s">
        <v>47</v>
      </c>
      <c r="E150" t="s">
        <v>436</v>
      </c>
      <c r="F150" t="s">
        <v>101</v>
      </c>
      <c r="G150">
        <v>5590.43</v>
      </c>
      <c r="H150" t="s">
        <v>451</v>
      </c>
      <c r="I150">
        <v>0</v>
      </c>
      <c r="J150">
        <v>0</v>
      </c>
      <c r="K150">
        <v>0</v>
      </c>
      <c r="L150">
        <v>0</v>
      </c>
      <c r="M150" t="s">
        <v>101</v>
      </c>
      <c r="N150">
        <v>5590.43</v>
      </c>
      <c r="O150" t="s">
        <v>451</v>
      </c>
      <c r="P150" t="b">
        <v>1</v>
      </c>
      <c r="Q150">
        <v>5590.4272047870963</v>
      </c>
      <c r="R150">
        <v>500</v>
      </c>
      <c r="S150">
        <v>6.5904272047870966</v>
      </c>
      <c r="T150">
        <v>0</v>
      </c>
      <c r="U150">
        <v>0</v>
      </c>
      <c r="V150">
        <v>0</v>
      </c>
    </row>
    <row r="151" spans="1:22" x14ac:dyDescent="0.25">
      <c r="A151"/>
      <c r="B151">
        <v>11098</v>
      </c>
      <c r="C151" t="s">
        <v>198</v>
      </c>
      <c r="D151" t="s">
        <v>47</v>
      </c>
      <c r="E151" t="s">
        <v>436</v>
      </c>
      <c r="F151" t="s">
        <v>101</v>
      </c>
      <c r="G151">
        <v>5610.35</v>
      </c>
      <c r="H151" t="s">
        <v>451</v>
      </c>
      <c r="I151">
        <v>0</v>
      </c>
      <c r="J151">
        <v>0</v>
      </c>
      <c r="K151">
        <v>0</v>
      </c>
      <c r="L151">
        <v>0</v>
      </c>
      <c r="M151" t="s">
        <v>101</v>
      </c>
      <c r="N151">
        <v>5610.35</v>
      </c>
      <c r="O151" t="s">
        <v>451</v>
      </c>
      <c r="P151" t="b">
        <v>1</v>
      </c>
      <c r="Q151">
        <v>5610.3471948271044</v>
      </c>
      <c r="R151">
        <v>500</v>
      </c>
      <c r="S151">
        <v>6.6103471948271038</v>
      </c>
      <c r="T151">
        <v>0</v>
      </c>
      <c r="U151">
        <v>0</v>
      </c>
      <c r="V151">
        <v>0</v>
      </c>
    </row>
    <row r="152" spans="1:22" x14ac:dyDescent="0.25">
      <c r="A152"/>
      <c r="B152">
        <v>11099</v>
      </c>
      <c r="C152" t="s">
        <v>199</v>
      </c>
      <c r="D152" t="s">
        <v>47</v>
      </c>
      <c r="E152" t="s">
        <v>436</v>
      </c>
      <c r="F152" t="s">
        <v>101</v>
      </c>
      <c r="G152">
        <v>5613.35</v>
      </c>
      <c r="H152" t="s">
        <v>451</v>
      </c>
      <c r="I152">
        <v>0</v>
      </c>
      <c r="J152">
        <v>0</v>
      </c>
      <c r="K152">
        <v>0</v>
      </c>
      <c r="L152">
        <v>0</v>
      </c>
      <c r="M152" t="s">
        <v>101</v>
      </c>
      <c r="N152">
        <v>5613.35</v>
      </c>
      <c r="O152" t="s">
        <v>451</v>
      </c>
      <c r="P152" t="b">
        <v>1</v>
      </c>
      <c r="Q152">
        <v>5613.3471933271048</v>
      </c>
      <c r="R152">
        <v>500</v>
      </c>
      <c r="S152">
        <v>6.6133471933271055</v>
      </c>
      <c r="T152">
        <v>0</v>
      </c>
      <c r="U152">
        <v>0</v>
      </c>
      <c r="V152">
        <v>0</v>
      </c>
    </row>
    <row r="153" spans="1:22" x14ac:dyDescent="0.25">
      <c r="A153"/>
      <c r="B153">
        <v>11100</v>
      </c>
      <c r="C153" t="s">
        <v>200</v>
      </c>
      <c r="D153" t="s">
        <v>47</v>
      </c>
      <c r="E153" t="s">
        <v>436</v>
      </c>
      <c r="F153" t="s">
        <v>101</v>
      </c>
      <c r="G153">
        <v>5665.77</v>
      </c>
      <c r="H153" t="s">
        <v>451</v>
      </c>
      <c r="I153">
        <v>0</v>
      </c>
      <c r="J153">
        <v>0</v>
      </c>
      <c r="K153">
        <v>0</v>
      </c>
      <c r="L153">
        <v>0</v>
      </c>
      <c r="M153" t="s">
        <v>101</v>
      </c>
      <c r="N153">
        <v>5665.77</v>
      </c>
      <c r="O153" t="s">
        <v>451</v>
      </c>
      <c r="P153" t="b">
        <v>1</v>
      </c>
      <c r="Q153">
        <v>5665.7671671171247</v>
      </c>
      <c r="R153">
        <v>500</v>
      </c>
      <c r="S153">
        <v>6.6657671671171252</v>
      </c>
      <c r="T153">
        <v>0</v>
      </c>
      <c r="U153">
        <v>0</v>
      </c>
      <c r="V153">
        <v>0</v>
      </c>
    </row>
    <row r="154" spans="1:22" x14ac:dyDescent="0.25">
      <c r="A154"/>
      <c r="B154">
        <v>11101</v>
      </c>
      <c r="C154" t="s">
        <v>201</v>
      </c>
      <c r="D154" t="s">
        <v>47</v>
      </c>
      <c r="E154" t="s">
        <v>436</v>
      </c>
      <c r="F154" t="s">
        <v>101</v>
      </c>
      <c r="G154">
        <v>5745</v>
      </c>
      <c r="H154" t="s">
        <v>451</v>
      </c>
      <c r="I154">
        <v>0</v>
      </c>
      <c r="J154">
        <v>0</v>
      </c>
      <c r="K154">
        <v>0</v>
      </c>
      <c r="L154">
        <v>0</v>
      </c>
      <c r="M154" t="s">
        <v>101</v>
      </c>
      <c r="N154">
        <v>5745</v>
      </c>
      <c r="O154" t="s">
        <v>451</v>
      </c>
      <c r="P154" t="b">
        <v>1</v>
      </c>
      <c r="Q154">
        <v>5744.9971275021544</v>
      </c>
      <c r="R154">
        <v>500</v>
      </c>
      <c r="S154">
        <v>6.7449971275021543</v>
      </c>
      <c r="T154">
        <v>0</v>
      </c>
      <c r="U154">
        <v>0</v>
      </c>
      <c r="V154">
        <v>0</v>
      </c>
    </row>
    <row r="155" spans="1:22" x14ac:dyDescent="0.25">
      <c r="A155"/>
      <c r="B155">
        <v>11102</v>
      </c>
      <c r="C155" t="s">
        <v>202</v>
      </c>
      <c r="D155" t="s">
        <v>47</v>
      </c>
      <c r="E155" t="s">
        <v>436</v>
      </c>
      <c r="F155" t="s">
        <v>101</v>
      </c>
      <c r="G155">
        <v>5766</v>
      </c>
      <c r="H155" t="s">
        <v>451</v>
      </c>
      <c r="I155">
        <v>0</v>
      </c>
      <c r="J155">
        <v>0</v>
      </c>
      <c r="K155">
        <v>0</v>
      </c>
      <c r="L155">
        <v>0</v>
      </c>
      <c r="M155" t="s">
        <v>101</v>
      </c>
      <c r="N155">
        <v>5766</v>
      </c>
      <c r="O155" t="s">
        <v>451</v>
      </c>
      <c r="P155" t="b">
        <v>1</v>
      </c>
      <c r="Q155">
        <v>5765.9971170021618</v>
      </c>
      <c r="R155">
        <v>500</v>
      </c>
      <c r="S155">
        <v>6.7659971170021622</v>
      </c>
      <c r="T155">
        <v>0</v>
      </c>
      <c r="U155">
        <v>0</v>
      </c>
      <c r="V155">
        <v>0</v>
      </c>
    </row>
    <row r="156" spans="1:22" x14ac:dyDescent="0.25">
      <c r="A156"/>
      <c r="B156">
        <v>11103</v>
      </c>
      <c r="C156" t="s">
        <v>203</v>
      </c>
      <c r="D156" t="s">
        <v>47</v>
      </c>
      <c r="E156" t="s">
        <v>436</v>
      </c>
      <c r="F156" t="s">
        <v>101</v>
      </c>
      <c r="G156">
        <v>5886</v>
      </c>
      <c r="H156" t="s">
        <v>451</v>
      </c>
      <c r="I156">
        <v>0</v>
      </c>
      <c r="J156">
        <v>0</v>
      </c>
      <c r="K156">
        <v>0</v>
      </c>
      <c r="L156">
        <v>0</v>
      </c>
      <c r="M156" t="s">
        <v>101</v>
      </c>
      <c r="N156">
        <v>5886</v>
      </c>
      <c r="O156" t="s">
        <v>451</v>
      </c>
      <c r="P156" t="b">
        <v>1</v>
      </c>
      <c r="Q156">
        <v>5885.9970570022069</v>
      </c>
      <c r="R156">
        <v>500</v>
      </c>
      <c r="S156">
        <v>6.8859970570022071</v>
      </c>
      <c r="T156">
        <v>0</v>
      </c>
      <c r="U156">
        <v>0</v>
      </c>
      <c r="V156">
        <v>0</v>
      </c>
    </row>
    <row r="157" spans="1:22" x14ac:dyDescent="0.25">
      <c r="A157"/>
      <c r="B157">
        <v>11104</v>
      </c>
      <c r="C157" t="s">
        <v>204</v>
      </c>
      <c r="D157" t="s">
        <v>47</v>
      </c>
      <c r="E157" t="s">
        <v>436</v>
      </c>
      <c r="F157" t="s">
        <v>101</v>
      </c>
      <c r="G157">
        <v>6086</v>
      </c>
      <c r="H157" t="s">
        <v>451</v>
      </c>
      <c r="I157">
        <v>0</v>
      </c>
      <c r="J157">
        <v>0</v>
      </c>
      <c r="K157">
        <v>0</v>
      </c>
      <c r="L157">
        <v>0</v>
      </c>
      <c r="M157" t="s">
        <v>101</v>
      </c>
      <c r="N157">
        <v>6086</v>
      </c>
      <c r="O157" t="s">
        <v>451</v>
      </c>
      <c r="P157" t="b">
        <v>1</v>
      </c>
      <c r="Q157">
        <v>6085.9969570022822</v>
      </c>
      <c r="R157">
        <v>500</v>
      </c>
      <c r="S157">
        <v>7.0859969570022825</v>
      </c>
      <c r="T157">
        <v>0</v>
      </c>
      <c r="U157">
        <v>0</v>
      </c>
      <c r="V157">
        <v>0</v>
      </c>
    </row>
    <row r="158" spans="1:22" x14ac:dyDescent="0.25">
      <c r="A158"/>
      <c r="B158">
        <v>11105</v>
      </c>
      <c r="C158" t="s">
        <v>205</v>
      </c>
      <c r="D158" t="s">
        <v>47</v>
      </c>
      <c r="E158" t="s">
        <v>436</v>
      </c>
      <c r="F158" t="s">
        <v>101</v>
      </c>
      <c r="G158">
        <v>6176.97</v>
      </c>
      <c r="H158" t="s">
        <v>451</v>
      </c>
      <c r="I158">
        <v>0</v>
      </c>
      <c r="J158">
        <v>0</v>
      </c>
      <c r="K158">
        <v>0</v>
      </c>
      <c r="L158">
        <v>0</v>
      </c>
      <c r="M158" t="s">
        <v>101</v>
      </c>
      <c r="N158">
        <v>6176.97</v>
      </c>
      <c r="O158" t="s">
        <v>451</v>
      </c>
      <c r="P158" t="b">
        <v>1</v>
      </c>
      <c r="Q158">
        <v>6176.9669115173165</v>
      </c>
      <c r="R158">
        <v>500</v>
      </c>
      <c r="S158">
        <v>7.1769669115173169</v>
      </c>
      <c r="T158">
        <v>0</v>
      </c>
      <c r="U158">
        <v>0</v>
      </c>
      <c r="V158">
        <v>0</v>
      </c>
    </row>
    <row r="159" spans="1:22" x14ac:dyDescent="0.25">
      <c r="A159"/>
      <c r="B159">
        <v>11106</v>
      </c>
      <c r="C159" t="s">
        <v>206</v>
      </c>
      <c r="D159" t="s">
        <v>47</v>
      </c>
      <c r="E159" t="s">
        <v>436</v>
      </c>
      <c r="F159" t="s">
        <v>101</v>
      </c>
      <c r="G159">
        <v>6296.97</v>
      </c>
      <c r="H159" t="s">
        <v>451</v>
      </c>
      <c r="I159">
        <v>0</v>
      </c>
      <c r="J159">
        <v>0</v>
      </c>
      <c r="K159">
        <v>0</v>
      </c>
      <c r="L159">
        <v>0</v>
      </c>
      <c r="M159" t="s">
        <v>101</v>
      </c>
      <c r="N159">
        <v>6296.97</v>
      </c>
      <c r="O159" t="s">
        <v>451</v>
      </c>
      <c r="P159" t="b">
        <v>1</v>
      </c>
      <c r="Q159">
        <v>6296.9668515173616</v>
      </c>
      <c r="R159">
        <v>500</v>
      </c>
      <c r="S159">
        <v>7.2969668515173618</v>
      </c>
      <c r="T159">
        <v>0</v>
      </c>
      <c r="U159">
        <v>0</v>
      </c>
      <c r="V159">
        <v>0</v>
      </c>
    </row>
    <row r="160" spans="1:22" x14ac:dyDescent="0.25">
      <c r="A160"/>
      <c r="B160">
        <v>11107</v>
      </c>
      <c r="C160" t="s">
        <v>207</v>
      </c>
      <c r="D160" t="s">
        <v>47</v>
      </c>
      <c r="E160" t="s">
        <v>436</v>
      </c>
      <c r="F160" t="s">
        <v>101</v>
      </c>
      <c r="G160">
        <v>6317.97</v>
      </c>
      <c r="H160" t="s">
        <v>451</v>
      </c>
      <c r="I160">
        <v>0</v>
      </c>
      <c r="J160">
        <v>0</v>
      </c>
      <c r="K160">
        <v>0</v>
      </c>
      <c r="L160">
        <v>0</v>
      </c>
      <c r="M160" t="s">
        <v>101</v>
      </c>
      <c r="N160">
        <v>6317.97</v>
      </c>
      <c r="O160" t="s">
        <v>451</v>
      </c>
      <c r="P160" t="b">
        <v>1</v>
      </c>
      <c r="Q160">
        <v>6317.966841017369</v>
      </c>
      <c r="R160">
        <v>500</v>
      </c>
      <c r="S160">
        <v>7.3179668410173697</v>
      </c>
      <c r="T160">
        <v>0</v>
      </c>
      <c r="U160">
        <v>0</v>
      </c>
      <c r="V160">
        <v>0</v>
      </c>
    </row>
    <row r="161" spans="1:22" x14ac:dyDescent="0.25">
      <c r="A161"/>
      <c r="B161">
        <v>11108</v>
      </c>
      <c r="C161" t="s">
        <v>208</v>
      </c>
      <c r="D161" t="s">
        <v>47</v>
      </c>
      <c r="E161" t="s">
        <v>436</v>
      </c>
      <c r="F161" t="s">
        <v>101</v>
      </c>
      <c r="G161">
        <v>6394.0299999999897</v>
      </c>
      <c r="H161" t="s">
        <v>451</v>
      </c>
      <c r="I161">
        <v>0</v>
      </c>
      <c r="J161">
        <v>0</v>
      </c>
      <c r="K161">
        <v>0</v>
      </c>
      <c r="L161">
        <v>0</v>
      </c>
      <c r="M161" t="s">
        <v>101</v>
      </c>
      <c r="N161">
        <v>6394.0299999999897</v>
      </c>
      <c r="O161" t="s">
        <v>451</v>
      </c>
      <c r="P161" t="b">
        <v>1</v>
      </c>
      <c r="Q161">
        <v>6394.0268029873869</v>
      </c>
      <c r="R161">
        <v>500</v>
      </c>
      <c r="S161">
        <v>7.394026802987387</v>
      </c>
      <c r="T161">
        <v>0</v>
      </c>
      <c r="U161">
        <v>0</v>
      </c>
      <c r="V161">
        <v>0</v>
      </c>
    </row>
    <row r="162" spans="1:22" x14ac:dyDescent="0.25">
      <c r="A162"/>
      <c r="B162">
        <v>11109</v>
      </c>
      <c r="C162" t="s">
        <v>209</v>
      </c>
      <c r="D162" t="s">
        <v>47</v>
      </c>
      <c r="E162" t="s">
        <v>436</v>
      </c>
      <c r="F162" t="s">
        <v>101</v>
      </c>
      <c r="G162">
        <v>6408.89</v>
      </c>
      <c r="H162" t="s">
        <v>451</v>
      </c>
      <c r="I162">
        <v>0</v>
      </c>
      <c r="J162">
        <v>0</v>
      </c>
      <c r="K162">
        <v>0</v>
      </c>
      <c r="L162">
        <v>0</v>
      </c>
      <c r="M162" t="s">
        <v>101</v>
      </c>
      <c r="N162">
        <v>6408.89</v>
      </c>
      <c r="O162" t="s">
        <v>451</v>
      </c>
      <c r="P162" t="b">
        <v>1</v>
      </c>
      <c r="Q162">
        <v>6408.8867955574033</v>
      </c>
      <c r="R162">
        <v>500</v>
      </c>
      <c r="S162">
        <v>7.4088867955574038</v>
      </c>
      <c r="T162">
        <v>0</v>
      </c>
      <c r="U162">
        <v>0</v>
      </c>
      <c r="V162">
        <v>0</v>
      </c>
    </row>
    <row r="163" spans="1:22" x14ac:dyDescent="0.25">
      <c r="A163"/>
      <c r="B163">
        <v>11110</v>
      </c>
      <c r="C163" t="s">
        <v>210</v>
      </c>
      <c r="D163" t="s">
        <v>47</v>
      </c>
      <c r="E163" t="s">
        <v>436</v>
      </c>
      <c r="F163" t="s">
        <v>101</v>
      </c>
      <c r="G163">
        <v>6411.89</v>
      </c>
      <c r="H163" t="s">
        <v>451</v>
      </c>
      <c r="I163">
        <v>0</v>
      </c>
      <c r="J163">
        <v>0</v>
      </c>
      <c r="K163">
        <v>0</v>
      </c>
      <c r="L163">
        <v>0</v>
      </c>
      <c r="M163" t="s">
        <v>101</v>
      </c>
      <c r="N163">
        <v>6411.89</v>
      </c>
      <c r="O163" t="s">
        <v>451</v>
      </c>
      <c r="P163" t="b">
        <v>1</v>
      </c>
      <c r="Q163">
        <v>6411.8867940574046</v>
      </c>
      <c r="R163">
        <v>500</v>
      </c>
      <c r="S163">
        <v>7.4118867940574047</v>
      </c>
      <c r="T163">
        <v>0</v>
      </c>
      <c r="U163">
        <v>0</v>
      </c>
      <c r="V163">
        <v>0</v>
      </c>
    </row>
    <row r="164" spans="1:22" x14ac:dyDescent="0.25">
      <c r="A164"/>
      <c r="B164">
        <v>11111</v>
      </c>
      <c r="C164" t="s">
        <v>211</v>
      </c>
      <c r="D164" t="s">
        <v>47</v>
      </c>
      <c r="E164" t="s">
        <v>436</v>
      </c>
      <c r="F164" t="s">
        <v>101</v>
      </c>
      <c r="G164">
        <v>6431.81</v>
      </c>
      <c r="H164" t="s">
        <v>451</v>
      </c>
      <c r="I164">
        <v>0</v>
      </c>
      <c r="J164">
        <v>0</v>
      </c>
      <c r="K164">
        <v>0</v>
      </c>
      <c r="L164">
        <v>0</v>
      </c>
      <c r="M164" t="s">
        <v>101</v>
      </c>
      <c r="N164">
        <v>6431.81</v>
      </c>
      <c r="O164" t="s">
        <v>451</v>
      </c>
      <c r="P164" t="b">
        <v>1</v>
      </c>
      <c r="Q164">
        <v>6431.8067840974118</v>
      </c>
      <c r="R164">
        <v>500</v>
      </c>
      <c r="S164">
        <v>7.4318067840974118</v>
      </c>
      <c r="T164">
        <v>0</v>
      </c>
      <c r="U164">
        <v>0</v>
      </c>
      <c r="V164">
        <v>0</v>
      </c>
    </row>
    <row r="165" spans="1:22" x14ac:dyDescent="0.25">
      <c r="A165"/>
      <c r="B165">
        <v>11112</v>
      </c>
      <c r="C165" t="s">
        <v>212</v>
      </c>
      <c r="D165" t="s">
        <v>47</v>
      </c>
      <c r="E165" t="s">
        <v>436</v>
      </c>
      <c r="F165" t="s">
        <v>101</v>
      </c>
      <c r="G165">
        <v>6434.81</v>
      </c>
      <c r="H165" t="s">
        <v>451</v>
      </c>
      <c r="I165">
        <v>0</v>
      </c>
      <c r="J165">
        <v>0</v>
      </c>
      <c r="K165">
        <v>0</v>
      </c>
      <c r="L165">
        <v>0</v>
      </c>
      <c r="M165" t="s">
        <v>101</v>
      </c>
      <c r="N165">
        <v>6434.81</v>
      </c>
      <c r="O165" t="s">
        <v>451</v>
      </c>
      <c r="P165" t="b">
        <v>1</v>
      </c>
      <c r="Q165">
        <v>6434.8067825974131</v>
      </c>
      <c r="R165">
        <v>500</v>
      </c>
      <c r="S165">
        <v>7.4348067825974136</v>
      </c>
      <c r="T165">
        <v>0</v>
      </c>
      <c r="U165">
        <v>0</v>
      </c>
      <c r="V165">
        <v>0</v>
      </c>
    </row>
    <row r="166" spans="1:22" x14ac:dyDescent="0.25">
      <c r="A166"/>
      <c r="B166">
        <v>11113</v>
      </c>
      <c r="C166" t="s">
        <v>213</v>
      </c>
      <c r="D166" t="s">
        <v>47</v>
      </c>
      <c r="E166" t="s">
        <v>436</v>
      </c>
      <c r="F166" t="s">
        <v>101</v>
      </c>
      <c r="G166">
        <v>6492.8299999999899</v>
      </c>
      <c r="H166" t="s">
        <v>451</v>
      </c>
      <c r="I166">
        <v>0</v>
      </c>
      <c r="J166">
        <v>0</v>
      </c>
      <c r="K166">
        <v>0</v>
      </c>
      <c r="L166">
        <v>0</v>
      </c>
      <c r="M166" t="s">
        <v>101</v>
      </c>
      <c r="N166">
        <v>6492.8299999999899</v>
      </c>
      <c r="O166" t="s">
        <v>451</v>
      </c>
      <c r="P166" t="b">
        <v>1</v>
      </c>
      <c r="Q166">
        <v>6492.8267535874247</v>
      </c>
      <c r="R166">
        <v>500</v>
      </c>
      <c r="S166">
        <v>7.4928267535874244</v>
      </c>
      <c r="T166">
        <v>0</v>
      </c>
      <c r="U166">
        <v>0</v>
      </c>
      <c r="V166">
        <v>0</v>
      </c>
    </row>
    <row r="167" spans="1:22" x14ac:dyDescent="0.25">
      <c r="A167"/>
      <c r="B167">
        <v>11114</v>
      </c>
      <c r="C167" t="s">
        <v>214</v>
      </c>
      <c r="D167" t="s">
        <v>47</v>
      </c>
      <c r="E167" t="s">
        <v>436</v>
      </c>
      <c r="F167" t="s">
        <v>101</v>
      </c>
      <c r="G167">
        <v>6527.93</v>
      </c>
      <c r="H167" t="s">
        <v>451</v>
      </c>
      <c r="I167">
        <v>0</v>
      </c>
      <c r="J167">
        <v>0</v>
      </c>
      <c r="K167">
        <v>0</v>
      </c>
      <c r="L167">
        <v>0</v>
      </c>
      <c r="M167" t="s">
        <v>101</v>
      </c>
      <c r="N167">
        <v>6527.93</v>
      </c>
      <c r="O167" t="s">
        <v>451</v>
      </c>
      <c r="P167" t="b">
        <v>1</v>
      </c>
      <c r="Q167">
        <v>6527.9267360374479</v>
      </c>
      <c r="R167">
        <v>500</v>
      </c>
      <c r="S167">
        <v>7.5279267360374478</v>
      </c>
      <c r="T167">
        <v>0</v>
      </c>
      <c r="U167">
        <v>0</v>
      </c>
      <c r="V167">
        <v>0</v>
      </c>
    </row>
    <row r="168" spans="1:22" x14ac:dyDescent="0.25">
      <c r="A168"/>
      <c r="B168">
        <v>11115</v>
      </c>
      <c r="C168" t="s">
        <v>215</v>
      </c>
      <c r="D168" t="s">
        <v>47</v>
      </c>
      <c r="E168" t="s">
        <v>436</v>
      </c>
      <c r="F168" t="s">
        <v>101</v>
      </c>
      <c r="G168">
        <v>6530.93</v>
      </c>
      <c r="H168" t="s">
        <v>451</v>
      </c>
      <c r="I168">
        <v>0</v>
      </c>
      <c r="J168">
        <v>0</v>
      </c>
      <c r="K168">
        <v>0</v>
      </c>
      <c r="L168">
        <v>0</v>
      </c>
      <c r="M168" t="s">
        <v>101</v>
      </c>
      <c r="N168">
        <v>6530.93</v>
      </c>
      <c r="O168" t="s">
        <v>451</v>
      </c>
      <c r="P168" t="b">
        <v>1</v>
      </c>
      <c r="Q168">
        <v>6530.9267345374492</v>
      </c>
      <c r="R168">
        <v>500</v>
      </c>
      <c r="S168">
        <v>7.5309267345374495</v>
      </c>
      <c r="T168">
        <v>0</v>
      </c>
      <c r="U168">
        <v>0</v>
      </c>
      <c r="V168">
        <v>0</v>
      </c>
    </row>
    <row r="169" spans="1:22" x14ac:dyDescent="0.25">
      <c r="A169"/>
      <c r="B169">
        <v>11116</v>
      </c>
      <c r="C169" t="s">
        <v>216</v>
      </c>
      <c r="D169" t="s">
        <v>47</v>
      </c>
      <c r="E169" t="s">
        <v>436</v>
      </c>
      <c r="F169" t="s">
        <v>101</v>
      </c>
      <c r="G169">
        <v>6550.85</v>
      </c>
      <c r="H169" t="s">
        <v>451</v>
      </c>
      <c r="I169">
        <v>0</v>
      </c>
      <c r="J169">
        <v>0</v>
      </c>
      <c r="K169">
        <v>0</v>
      </c>
      <c r="L169">
        <v>0</v>
      </c>
      <c r="M169" t="s">
        <v>101</v>
      </c>
      <c r="N169">
        <v>6550.85</v>
      </c>
      <c r="O169" t="s">
        <v>451</v>
      </c>
      <c r="P169" t="b">
        <v>1</v>
      </c>
      <c r="Q169">
        <v>6550.8467245774564</v>
      </c>
      <c r="R169">
        <v>500</v>
      </c>
      <c r="S169">
        <v>7.5508467245774566</v>
      </c>
      <c r="T169">
        <v>0</v>
      </c>
      <c r="U169">
        <v>0</v>
      </c>
      <c r="V169">
        <v>0</v>
      </c>
    </row>
    <row r="170" spans="1:22" x14ac:dyDescent="0.25">
      <c r="A170"/>
      <c r="B170">
        <v>11117</v>
      </c>
      <c r="C170" t="s">
        <v>217</v>
      </c>
      <c r="D170" t="s">
        <v>47</v>
      </c>
      <c r="E170" t="s">
        <v>436</v>
      </c>
      <c r="F170" t="s">
        <v>101</v>
      </c>
      <c r="G170">
        <v>6553.85</v>
      </c>
      <c r="H170" t="s">
        <v>451</v>
      </c>
      <c r="I170">
        <v>0</v>
      </c>
      <c r="J170">
        <v>0</v>
      </c>
      <c r="K170">
        <v>0</v>
      </c>
      <c r="L170">
        <v>0</v>
      </c>
      <c r="M170" t="s">
        <v>101</v>
      </c>
      <c r="N170">
        <v>6553.85</v>
      </c>
      <c r="O170" t="s">
        <v>451</v>
      </c>
      <c r="P170" t="b">
        <v>1</v>
      </c>
      <c r="Q170">
        <v>6553.8467230774577</v>
      </c>
      <c r="R170">
        <v>500</v>
      </c>
      <c r="S170">
        <v>7.5538467230774575</v>
      </c>
      <c r="T170">
        <v>0</v>
      </c>
      <c r="U170">
        <v>0</v>
      </c>
      <c r="V170">
        <v>0</v>
      </c>
    </row>
    <row r="171" spans="1:22" x14ac:dyDescent="0.25">
      <c r="A171"/>
      <c r="B171">
        <v>11118</v>
      </c>
      <c r="C171" t="s">
        <v>218</v>
      </c>
      <c r="D171" t="s">
        <v>47</v>
      </c>
      <c r="E171" t="s">
        <v>436</v>
      </c>
      <c r="F171" t="s">
        <v>101</v>
      </c>
      <c r="G171">
        <v>6606.27</v>
      </c>
      <c r="H171" t="s">
        <v>451</v>
      </c>
      <c r="I171">
        <v>0</v>
      </c>
      <c r="J171">
        <v>0</v>
      </c>
      <c r="K171">
        <v>0</v>
      </c>
      <c r="L171">
        <v>0</v>
      </c>
      <c r="M171" t="s">
        <v>101</v>
      </c>
      <c r="N171">
        <v>6606.27</v>
      </c>
      <c r="O171" t="s">
        <v>451</v>
      </c>
      <c r="P171" t="b">
        <v>1</v>
      </c>
      <c r="Q171">
        <v>6606.2666968674775</v>
      </c>
      <c r="R171">
        <v>500</v>
      </c>
      <c r="S171">
        <v>7.6062666968674773</v>
      </c>
      <c r="T171">
        <v>0</v>
      </c>
      <c r="U171">
        <v>0</v>
      </c>
      <c r="V171">
        <v>0</v>
      </c>
    </row>
    <row r="172" spans="1:22" x14ac:dyDescent="0.25">
      <c r="A172"/>
      <c r="B172">
        <v>11119</v>
      </c>
      <c r="C172" t="s">
        <v>219</v>
      </c>
      <c r="D172" t="s">
        <v>47</v>
      </c>
      <c r="E172" t="s">
        <v>436</v>
      </c>
      <c r="F172" t="s">
        <v>101</v>
      </c>
      <c r="G172">
        <v>6708</v>
      </c>
      <c r="H172" t="s">
        <v>451</v>
      </c>
      <c r="I172">
        <v>0</v>
      </c>
      <c r="J172">
        <v>0</v>
      </c>
      <c r="K172">
        <v>0</v>
      </c>
      <c r="L172">
        <v>0</v>
      </c>
      <c r="M172" t="s">
        <v>101</v>
      </c>
      <c r="N172">
        <v>6708</v>
      </c>
      <c r="O172" t="s">
        <v>451</v>
      </c>
      <c r="P172" t="b">
        <v>1</v>
      </c>
      <c r="Q172">
        <v>6707.9966460025153</v>
      </c>
      <c r="R172">
        <v>500</v>
      </c>
      <c r="S172">
        <v>7.7079966460025151</v>
      </c>
      <c r="T172">
        <v>0</v>
      </c>
      <c r="U172">
        <v>0</v>
      </c>
      <c r="V172">
        <v>0</v>
      </c>
    </row>
    <row r="173" spans="1:22" x14ac:dyDescent="0.25">
      <c r="A173"/>
      <c r="B173">
        <v>11120</v>
      </c>
      <c r="C173" t="s">
        <v>220</v>
      </c>
      <c r="D173" t="s">
        <v>47</v>
      </c>
      <c r="E173" t="s">
        <v>436</v>
      </c>
      <c r="F173" t="s">
        <v>101</v>
      </c>
      <c r="G173">
        <v>6828</v>
      </c>
      <c r="H173" t="s">
        <v>451</v>
      </c>
      <c r="I173">
        <v>0</v>
      </c>
      <c r="J173">
        <v>0</v>
      </c>
      <c r="K173">
        <v>0</v>
      </c>
      <c r="L173">
        <v>0</v>
      </c>
      <c r="M173" t="s">
        <v>101</v>
      </c>
      <c r="N173">
        <v>6828</v>
      </c>
      <c r="O173" t="s">
        <v>451</v>
      </c>
      <c r="P173" t="b">
        <v>1</v>
      </c>
      <c r="Q173">
        <v>6827.9965860025604</v>
      </c>
      <c r="R173">
        <v>500</v>
      </c>
      <c r="S173">
        <v>7.82799658600256</v>
      </c>
      <c r="T173">
        <v>0</v>
      </c>
      <c r="U173">
        <v>0</v>
      </c>
      <c r="V173">
        <v>0</v>
      </c>
    </row>
    <row r="174" spans="1:22" x14ac:dyDescent="0.25">
      <c r="A174"/>
      <c r="B174">
        <v>11121</v>
      </c>
      <c r="C174" t="s">
        <v>221</v>
      </c>
      <c r="D174" t="s">
        <v>47</v>
      </c>
      <c r="E174" t="s">
        <v>436</v>
      </c>
      <c r="F174" t="s">
        <v>101</v>
      </c>
      <c r="G174">
        <v>6978</v>
      </c>
      <c r="H174" t="s">
        <v>451</v>
      </c>
      <c r="I174">
        <v>0</v>
      </c>
      <c r="J174">
        <v>0</v>
      </c>
      <c r="K174">
        <v>0</v>
      </c>
      <c r="L174">
        <v>0</v>
      </c>
      <c r="M174" t="s">
        <v>101</v>
      </c>
      <c r="N174">
        <v>6978</v>
      </c>
      <c r="O174" t="s">
        <v>451</v>
      </c>
      <c r="P174" t="b">
        <v>1</v>
      </c>
      <c r="Q174">
        <v>6977.9965110026169</v>
      </c>
      <c r="R174">
        <v>500</v>
      </c>
      <c r="S174">
        <v>7.9779965110026163</v>
      </c>
      <c r="T174">
        <v>0</v>
      </c>
      <c r="U174">
        <v>0</v>
      </c>
      <c r="V174">
        <v>0</v>
      </c>
    </row>
    <row r="175" spans="1:22" x14ac:dyDescent="0.25">
      <c r="A175"/>
      <c r="B175">
        <v>11122</v>
      </c>
      <c r="C175" t="s">
        <v>222</v>
      </c>
      <c r="D175" t="s">
        <v>47</v>
      </c>
      <c r="E175" t="s">
        <v>436</v>
      </c>
      <c r="F175" t="s">
        <v>101</v>
      </c>
      <c r="G175">
        <v>7128</v>
      </c>
      <c r="H175" t="s">
        <v>451</v>
      </c>
      <c r="I175">
        <v>0</v>
      </c>
      <c r="J175">
        <v>0</v>
      </c>
      <c r="K175">
        <v>0</v>
      </c>
      <c r="L175">
        <v>0</v>
      </c>
      <c r="M175" t="s">
        <v>101</v>
      </c>
      <c r="N175">
        <v>7128</v>
      </c>
      <c r="O175" t="s">
        <v>451</v>
      </c>
      <c r="P175" t="b">
        <v>1</v>
      </c>
      <c r="Q175">
        <v>7127.9964360026725</v>
      </c>
      <c r="R175">
        <v>500</v>
      </c>
      <c r="S175">
        <v>8.1279964360026717</v>
      </c>
      <c r="T175">
        <v>0</v>
      </c>
      <c r="U175">
        <v>0</v>
      </c>
      <c r="V175">
        <v>0</v>
      </c>
    </row>
    <row r="176" spans="1:22" x14ac:dyDescent="0.25">
      <c r="A176"/>
      <c r="B176">
        <v>11123</v>
      </c>
      <c r="C176" t="s">
        <v>223</v>
      </c>
      <c r="D176" t="s">
        <v>47</v>
      </c>
      <c r="E176" t="s">
        <v>436</v>
      </c>
      <c r="F176" t="s">
        <v>101</v>
      </c>
      <c r="G176">
        <v>7253</v>
      </c>
      <c r="H176" t="s">
        <v>451</v>
      </c>
      <c r="I176">
        <v>0</v>
      </c>
      <c r="J176">
        <v>0</v>
      </c>
      <c r="K176">
        <v>0</v>
      </c>
      <c r="L176">
        <v>0</v>
      </c>
      <c r="M176" t="s">
        <v>101</v>
      </c>
      <c r="N176">
        <v>7253</v>
      </c>
      <c r="O176" t="s">
        <v>451</v>
      </c>
      <c r="P176" t="b">
        <v>1</v>
      </c>
      <c r="Q176">
        <v>7252.9963735027195</v>
      </c>
      <c r="R176">
        <v>500</v>
      </c>
      <c r="S176">
        <v>8.2529963735027199</v>
      </c>
      <c r="T176">
        <v>0</v>
      </c>
      <c r="U176">
        <v>0</v>
      </c>
      <c r="V176">
        <v>0</v>
      </c>
    </row>
    <row r="177" spans="1:22" x14ac:dyDescent="0.25">
      <c r="A177"/>
      <c r="B177">
        <v>11124</v>
      </c>
      <c r="C177" t="s">
        <v>224</v>
      </c>
      <c r="D177" t="s">
        <v>47</v>
      </c>
      <c r="E177" t="s">
        <v>436</v>
      </c>
      <c r="F177" t="s">
        <v>101</v>
      </c>
      <c r="G177">
        <v>7373</v>
      </c>
      <c r="H177" t="s">
        <v>451</v>
      </c>
      <c r="I177">
        <v>0</v>
      </c>
      <c r="J177">
        <v>0</v>
      </c>
      <c r="K177">
        <v>0</v>
      </c>
      <c r="L177">
        <v>0</v>
      </c>
      <c r="M177" t="s">
        <v>101</v>
      </c>
      <c r="N177">
        <v>7373</v>
      </c>
      <c r="O177" t="s">
        <v>451</v>
      </c>
      <c r="P177" t="b">
        <v>1</v>
      </c>
      <c r="Q177">
        <v>7372.9963135027647</v>
      </c>
      <c r="R177">
        <v>500</v>
      </c>
      <c r="S177">
        <v>8.3729963135027639</v>
      </c>
      <c r="T177">
        <v>0</v>
      </c>
      <c r="U177">
        <v>0</v>
      </c>
      <c r="V177">
        <v>0</v>
      </c>
    </row>
    <row r="178" spans="1:22" x14ac:dyDescent="0.25">
      <c r="A178"/>
      <c r="B178">
        <v>11125</v>
      </c>
      <c r="C178" t="s">
        <v>225</v>
      </c>
      <c r="D178" t="s">
        <v>47</v>
      </c>
      <c r="E178" t="s">
        <v>436</v>
      </c>
      <c r="F178" t="s">
        <v>101</v>
      </c>
      <c r="G178">
        <v>7394</v>
      </c>
      <c r="H178" t="s">
        <v>451</v>
      </c>
      <c r="I178">
        <v>0</v>
      </c>
      <c r="J178">
        <v>0</v>
      </c>
      <c r="K178">
        <v>0</v>
      </c>
      <c r="L178">
        <v>0</v>
      </c>
      <c r="M178" t="s">
        <v>101</v>
      </c>
      <c r="N178">
        <v>7394</v>
      </c>
      <c r="O178" t="s">
        <v>451</v>
      </c>
      <c r="P178" t="b">
        <v>1</v>
      </c>
      <c r="Q178">
        <v>7393.996303002772</v>
      </c>
      <c r="R178">
        <v>500</v>
      </c>
      <c r="S178">
        <v>8.3939963030027727</v>
      </c>
      <c r="T178">
        <v>0</v>
      </c>
      <c r="U178">
        <v>0</v>
      </c>
      <c r="V178">
        <v>0</v>
      </c>
    </row>
    <row r="179" spans="1:22" x14ac:dyDescent="0.25">
      <c r="A179"/>
      <c r="B179">
        <v>11126</v>
      </c>
      <c r="C179" t="s">
        <v>226</v>
      </c>
      <c r="D179" t="s">
        <v>47</v>
      </c>
      <c r="E179" t="s">
        <v>436</v>
      </c>
      <c r="F179" t="s">
        <v>101</v>
      </c>
      <c r="G179">
        <v>7490.3</v>
      </c>
      <c r="H179" t="s">
        <v>451</v>
      </c>
      <c r="I179">
        <v>0</v>
      </c>
      <c r="J179">
        <v>0</v>
      </c>
      <c r="K179">
        <v>0</v>
      </c>
      <c r="L179">
        <v>0</v>
      </c>
      <c r="M179" t="s">
        <v>101</v>
      </c>
      <c r="N179">
        <v>7490.3</v>
      </c>
      <c r="O179" t="s">
        <v>451</v>
      </c>
      <c r="P179" t="b">
        <v>1</v>
      </c>
      <c r="Q179">
        <v>7490.2962548528085</v>
      </c>
      <c r="R179">
        <v>500</v>
      </c>
      <c r="S179">
        <v>8.490296254852808</v>
      </c>
      <c r="T179">
        <v>0</v>
      </c>
      <c r="U179">
        <v>0</v>
      </c>
      <c r="V179">
        <v>0</v>
      </c>
    </row>
    <row r="180" spans="1:22" x14ac:dyDescent="0.25">
      <c r="A180"/>
      <c r="B180">
        <v>11127</v>
      </c>
      <c r="C180" t="s">
        <v>227</v>
      </c>
      <c r="D180" t="s">
        <v>47</v>
      </c>
      <c r="E180" t="s">
        <v>436</v>
      </c>
      <c r="F180" t="s">
        <v>101</v>
      </c>
      <c r="G180">
        <v>7505.1599999999899</v>
      </c>
      <c r="H180" t="s">
        <v>451</v>
      </c>
      <c r="I180">
        <v>0</v>
      </c>
      <c r="J180">
        <v>0</v>
      </c>
      <c r="K180">
        <v>0</v>
      </c>
      <c r="L180">
        <v>0</v>
      </c>
      <c r="M180" t="s">
        <v>101</v>
      </c>
      <c r="N180">
        <v>7505.1599999999899</v>
      </c>
      <c r="O180" t="s">
        <v>451</v>
      </c>
      <c r="P180" t="b">
        <v>1</v>
      </c>
      <c r="Q180">
        <v>7505.156247422804</v>
      </c>
      <c r="R180">
        <v>500</v>
      </c>
      <c r="S180">
        <v>8.5051562474228035</v>
      </c>
      <c r="T180">
        <v>0</v>
      </c>
      <c r="U180">
        <v>0</v>
      </c>
      <c r="V180">
        <v>0</v>
      </c>
    </row>
    <row r="181" spans="1:22" x14ac:dyDescent="0.25">
      <c r="A181"/>
      <c r="B181">
        <v>11128</v>
      </c>
      <c r="C181" t="s">
        <v>228</v>
      </c>
      <c r="D181" t="s">
        <v>47</v>
      </c>
      <c r="E181" t="s">
        <v>436</v>
      </c>
      <c r="F181" t="s">
        <v>101</v>
      </c>
      <c r="G181">
        <v>7508.1599999999899</v>
      </c>
      <c r="H181" t="s">
        <v>451</v>
      </c>
      <c r="I181">
        <v>0</v>
      </c>
      <c r="J181">
        <v>0</v>
      </c>
      <c r="K181">
        <v>0</v>
      </c>
      <c r="L181">
        <v>0</v>
      </c>
      <c r="M181" t="s">
        <v>101</v>
      </c>
      <c r="N181">
        <v>7508.1599999999899</v>
      </c>
      <c r="O181" t="s">
        <v>451</v>
      </c>
      <c r="P181" t="b">
        <v>1</v>
      </c>
      <c r="Q181">
        <v>7508.1562459228053</v>
      </c>
      <c r="R181">
        <v>500</v>
      </c>
      <c r="S181">
        <v>8.5081562459228053</v>
      </c>
      <c r="T181">
        <v>0</v>
      </c>
      <c r="U181">
        <v>0</v>
      </c>
      <c r="V181">
        <v>0</v>
      </c>
    </row>
    <row r="182" spans="1:22" x14ac:dyDescent="0.25">
      <c r="A182"/>
      <c r="B182">
        <v>11129</v>
      </c>
      <c r="C182" t="s">
        <v>229</v>
      </c>
      <c r="D182" t="s">
        <v>47</v>
      </c>
      <c r="E182" t="s">
        <v>436</v>
      </c>
      <c r="F182" t="s">
        <v>101</v>
      </c>
      <c r="G182">
        <v>7528.0799999999899</v>
      </c>
      <c r="H182" t="s">
        <v>451</v>
      </c>
      <c r="I182">
        <v>0</v>
      </c>
      <c r="J182">
        <v>0</v>
      </c>
      <c r="K182">
        <v>0</v>
      </c>
      <c r="L182">
        <v>0</v>
      </c>
      <c r="M182" t="s">
        <v>101</v>
      </c>
      <c r="N182">
        <v>7528.0799999999899</v>
      </c>
      <c r="O182" t="s">
        <v>451</v>
      </c>
      <c r="P182" t="b">
        <v>1</v>
      </c>
      <c r="Q182">
        <v>7528.0762359628125</v>
      </c>
      <c r="R182">
        <v>500</v>
      </c>
      <c r="S182">
        <v>8.5280762359628124</v>
      </c>
      <c r="T182">
        <v>0</v>
      </c>
      <c r="U182">
        <v>0</v>
      </c>
      <c r="V182">
        <v>0</v>
      </c>
    </row>
    <row r="183" spans="1:22" x14ac:dyDescent="0.25">
      <c r="A183"/>
      <c r="B183">
        <v>11130</v>
      </c>
      <c r="C183" t="s">
        <v>230</v>
      </c>
      <c r="D183" t="s">
        <v>47</v>
      </c>
      <c r="E183" t="s">
        <v>436</v>
      </c>
      <c r="F183" t="s">
        <v>101</v>
      </c>
      <c r="G183">
        <v>7531.0799999999899</v>
      </c>
      <c r="H183" t="s">
        <v>451</v>
      </c>
      <c r="I183">
        <v>0</v>
      </c>
      <c r="J183">
        <v>0</v>
      </c>
      <c r="K183">
        <v>0</v>
      </c>
      <c r="L183">
        <v>0</v>
      </c>
      <c r="M183" t="s">
        <v>101</v>
      </c>
      <c r="N183">
        <v>7531.0799999999899</v>
      </c>
      <c r="O183" t="s">
        <v>451</v>
      </c>
      <c r="P183" t="b">
        <v>1</v>
      </c>
      <c r="Q183">
        <v>7531.0762344628138</v>
      </c>
      <c r="R183">
        <v>500</v>
      </c>
      <c r="S183">
        <v>8.5310762344628142</v>
      </c>
      <c r="T183">
        <v>0</v>
      </c>
      <c r="U183">
        <v>0</v>
      </c>
      <c r="V183">
        <v>0</v>
      </c>
    </row>
    <row r="184" spans="1:22" x14ac:dyDescent="0.25">
      <c r="A184"/>
      <c r="B184">
        <v>11131</v>
      </c>
      <c r="C184" t="s">
        <v>231</v>
      </c>
      <c r="D184" t="s">
        <v>47</v>
      </c>
      <c r="E184" t="s">
        <v>436</v>
      </c>
      <c r="F184" t="s">
        <v>101</v>
      </c>
      <c r="G184">
        <v>7589.1</v>
      </c>
      <c r="H184" t="s">
        <v>451</v>
      </c>
      <c r="I184">
        <v>0</v>
      </c>
      <c r="J184">
        <v>0</v>
      </c>
      <c r="K184">
        <v>0</v>
      </c>
      <c r="L184">
        <v>0</v>
      </c>
      <c r="M184" t="s">
        <v>101</v>
      </c>
      <c r="N184">
        <v>7589.1</v>
      </c>
      <c r="O184" t="s">
        <v>451</v>
      </c>
      <c r="P184" t="b">
        <v>1</v>
      </c>
      <c r="Q184">
        <v>7589.0962054528463</v>
      </c>
      <c r="R184">
        <v>500</v>
      </c>
      <c r="S184">
        <v>8.5890962054528472</v>
      </c>
      <c r="T184">
        <v>0</v>
      </c>
      <c r="U184">
        <v>0</v>
      </c>
      <c r="V184">
        <v>0</v>
      </c>
    </row>
    <row r="185" spans="1:22" x14ac:dyDescent="0.25">
      <c r="A185"/>
      <c r="B185">
        <v>11132</v>
      </c>
      <c r="C185" t="s">
        <v>232</v>
      </c>
      <c r="D185" t="s">
        <v>47</v>
      </c>
      <c r="E185" t="s">
        <v>436</v>
      </c>
      <c r="F185" t="s">
        <v>101</v>
      </c>
      <c r="G185">
        <v>7624.1999999999898</v>
      </c>
      <c r="H185" t="s">
        <v>451</v>
      </c>
      <c r="I185">
        <v>0</v>
      </c>
      <c r="J185">
        <v>0</v>
      </c>
      <c r="K185">
        <v>0</v>
      </c>
      <c r="L185">
        <v>0</v>
      </c>
      <c r="M185" t="s">
        <v>101</v>
      </c>
      <c r="N185">
        <v>7624.1999999999898</v>
      </c>
      <c r="O185" t="s">
        <v>451</v>
      </c>
      <c r="P185" t="b">
        <v>1</v>
      </c>
      <c r="Q185">
        <v>7624.1961879028486</v>
      </c>
      <c r="R185">
        <v>500</v>
      </c>
      <c r="S185">
        <v>8.6241961879028484</v>
      </c>
      <c r="T185">
        <v>0</v>
      </c>
      <c r="U185">
        <v>0</v>
      </c>
      <c r="V185">
        <v>0</v>
      </c>
    </row>
    <row r="186" spans="1:22" x14ac:dyDescent="0.25">
      <c r="A186"/>
      <c r="B186">
        <v>11133</v>
      </c>
      <c r="C186" t="s">
        <v>233</v>
      </c>
      <c r="D186" t="s">
        <v>47</v>
      </c>
      <c r="E186" t="s">
        <v>436</v>
      </c>
      <c r="F186" t="s">
        <v>101</v>
      </c>
      <c r="G186">
        <v>7627.1999999999898</v>
      </c>
      <c r="H186" t="s">
        <v>451</v>
      </c>
      <c r="I186">
        <v>0</v>
      </c>
      <c r="J186">
        <v>0</v>
      </c>
      <c r="K186">
        <v>0</v>
      </c>
      <c r="L186">
        <v>0</v>
      </c>
      <c r="M186" t="s">
        <v>101</v>
      </c>
      <c r="N186">
        <v>7627.1999999999898</v>
      </c>
      <c r="O186" t="s">
        <v>451</v>
      </c>
      <c r="P186" t="b">
        <v>1</v>
      </c>
      <c r="Q186">
        <v>7627.1961864028499</v>
      </c>
      <c r="R186">
        <v>500</v>
      </c>
      <c r="S186">
        <v>8.6271961864028501</v>
      </c>
      <c r="T186">
        <v>0</v>
      </c>
      <c r="U186">
        <v>0</v>
      </c>
      <c r="V186">
        <v>0</v>
      </c>
    </row>
    <row r="187" spans="1:22" x14ac:dyDescent="0.25">
      <c r="A187"/>
      <c r="B187">
        <v>11134</v>
      </c>
      <c r="C187" t="s">
        <v>234</v>
      </c>
      <c r="D187" t="s">
        <v>47</v>
      </c>
      <c r="E187" t="s">
        <v>436</v>
      </c>
      <c r="F187" t="s">
        <v>101</v>
      </c>
      <c r="G187">
        <v>7647.1199999999899</v>
      </c>
      <c r="H187" t="s">
        <v>451</v>
      </c>
      <c r="I187">
        <v>0</v>
      </c>
      <c r="J187">
        <v>0</v>
      </c>
      <c r="K187">
        <v>0</v>
      </c>
      <c r="L187">
        <v>0</v>
      </c>
      <c r="M187" t="s">
        <v>101</v>
      </c>
      <c r="N187">
        <v>7647.1199999999899</v>
      </c>
      <c r="O187" t="s">
        <v>451</v>
      </c>
      <c r="P187" t="b">
        <v>1</v>
      </c>
      <c r="Q187">
        <v>7647.1161764428571</v>
      </c>
      <c r="R187">
        <v>500</v>
      </c>
      <c r="S187">
        <v>8.6471161764428572</v>
      </c>
      <c r="T187">
        <v>0</v>
      </c>
      <c r="U187">
        <v>0</v>
      </c>
      <c r="V187">
        <v>0</v>
      </c>
    </row>
    <row r="188" spans="1:22" x14ac:dyDescent="0.25">
      <c r="A188"/>
      <c r="B188">
        <v>11135</v>
      </c>
      <c r="C188" t="s">
        <v>235</v>
      </c>
      <c r="D188" t="s">
        <v>47</v>
      </c>
      <c r="E188" t="s">
        <v>436</v>
      </c>
      <c r="F188" t="s">
        <v>101</v>
      </c>
      <c r="G188">
        <v>7650.1199999999899</v>
      </c>
      <c r="H188" t="s">
        <v>451</v>
      </c>
      <c r="I188">
        <v>0</v>
      </c>
      <c r="J188">
        <v>0</v>
      </c>
      <c r="K188">
        <v>0</v>
      </c>
      <c r="L188">
        <v>0</v>
      </c>
      <c r="M188" t="s">
        <v>101</v>
      </c>
      <c r="N188">
        <v>7650.1199999999899</v>
      </c>
      <c r="O188" t="s">
        <v>451</v>
      </c>
      <c r="P188" t="b">
        <v>1</v>
      </c>
      <c r="Q188">
        <v>7650.1161749428584</v>
      </c>
      <c r="R188">
        <v>500</v>
      </c>
      <c r="S188">
        <v>8.650116174942859</v>
      </c>
      <c r="T188">
        <v>0</v>
      </c>
      <c r="U188">
        <v>0</v>
      </c>
      <c r="V188">
        <v>0</v>
      </c>
    </row>
    <row r="189" spans="1:22" x14ac:dyDescent="0.25">
      <c r="A189"/>
      <c r="B189">
        <v>11136</v>
      </c>
      <c r="C189" t="s">
        <v>236</v>
      </c>
      <c r="D189" t="s">
        <v>47</v>
      </c>
      <c r="E189" t="s">
        <v>436</v>
      </c>
      <c r="F189" t="s">
        <v>101</v>
      </c>
      <c r="G189">
        <v>7702.53999999999</v>
      </c>
      <c r="H189" t="s">
        <v>451</v>
      </c>
      <c r="I189">
        <v>0</v>
      </c>
      <c r="J189">
        <v>0</v>
      </c>
      <c r="K189">
        <v>0</v>
      </c>
      <c r="L189">
        <v>0</v>
      </c>
      <c r="M189" t="s">
        <v>101</v>
      </c>
      <c r="N189">
        <v>7702.53999999999</v>
      </c>
      <c r="O189" t="s">
        <v>451</v>
      </c>
      <c r="P189" t="b">
        <v>1</v>
      </c>
      <c r="Q189">
        <v>7702.5361487328782</v>
      </c>
      <c r="R189">
        <v>500</v>
      </c>
      <c r="S189">
        <v>8.7025361487328787</v>
      </c>
      <c r="T189">
        <v>0</v>
      </c>
      <c r="U189">
        <v>0</v>
      </c>
      <c r="V189">
        <v>0</v>
      </c>
    </row>
    <row r="190" spans="1:22" x14ac:dyDescent="0.25">
      <c r="A190"/>
      <c r="B190">
        <v>11137</v>
      </c>
      <c r="C190" t="s">
        <v>237</v>
      </c>
      <c r="D190" t="s">
        <v>47</v>
      </c>
      <c r="E190" t="s">
        <v>436</v>
      </c>
      <c r="F190" t="s">
        <v>101</v>
      </c>
      <c r="G190">
        <v>7783</v>
      </c>
      <c r="H190" t="s">
        <v>451</v>
      </c>
      <c r="I190">
        <v>0</v>
      </c>
      <c r="J190">
        <v>0</v>
      </c>
      <c r="K190">
        <v>0</v>
      </c>
      <c r="L190">
        <v>0</v>
      </c>
      <c r="M190" t="s">
        <v>101</v>
      </c>
      <c r="N190">
        <v>7783</v>
      </c>
      <c r="O190" t="s">
        <v>451</v>
      </c>
      <c r="P190" t="b">
        <v>1</v>
      </c>
      <c r="Q190">
        <v>7782.9961085029181</v>
      </c>
      <c r="R190">
        <v>500</v>
      </c>
      <c r="S190">
        <v>8.7829961085029176</v>
      </c>
      <c r="T190">
        <v>0</v>
      </c>
      <c r="U190">
        <v>0</v>
      </c>
      <c r="V190">
        <v>0</v>
      </c>
    </row>
    <row r="191" spans="1:22" x14ac:dyDescent="0.25">
      <c r="A191"/>
      <c r="B191">
        <v>11138</v>
      </c>
      <c r="C191" t="s">
        <v>238</v>
      </c>
      <c r="D191" t="s">
        <v>47</v>
      </c>
      <c r="E191" t="s">
        <v>436</v>
      </c>
      <c r="F191" t="s">
        <v>101</v>
      </c>
      <c r="G191">
        <v>7804</v>
      </c>
      <c r="H191" t="s">
        <v>451</v>
      </c>
      <c r="I191">
        <v>0</v>
      </c>
      <c r="J191">
        <v>0</v>
      </c>
      <c r="K191">
        <v>0</v>
      </c>
      <c r="L191">
        <v>0</v>
      </c>
      <c r="M191" t="s">
        <v>101</v>
      </c>
      <c r="N191">
        <v>7804</v>
      </c>
      <c r="O191" t="s">
        <v>451</v>
      </c>
      <c r="P191" t="b">
        <v>1</v>
      </c>
      <c r="Q191">
        <v>7803.9960980029264</v>
      </c>
      <c r="R191">
        <v>500</v>
      </c>
      <c r="S191">
        <v>8.8039960980029264</v>
      </c>
      <c r="T191">
        <v>0</v>
      </c>
      <c r="U191">
        <v>0</v>
      </c>
      <c r="V191">
        <v>0</v>
      </c>
    </row>
    <row r="192" spans="1:22" x14ac:dyDescent="0.25">
      <c r="A192"/>
      <c r="B192">
        <v>11139</v>
      </c>
      <c r="C192" t="s">
        <v>239</v>
      </c>
      <c r="D192" t="s">
        <v>47</v>
      </c>
      <c r="E192" t="s">
        <v>436</v>
      </c>
      <c r="F192" t="s">
        <v>101</v>
      </c>
      <c r="G192">
        <v>7864.6499999999896</v>
      </c>
      <c r="H192" t="s">
        <v>451</v>
      </c>
      <c r="I192">
        <v>0</v>
      </c>
      <c r="J192">
        <v>0</v>
      </c>
      <c r="K192">
        <v>0</v>
      </c>
      <c r="L192">
        <v>0</v>
      </c>
      <c r="M192" t="s">
        <v>101</v>
      </c>
      <c r="N192">
        <v>7864.6499999999896</v>
      </c>
      <c r="O192" t="s">
        <v>451</v>
      </c>
      <c r="P192" t="b">
        <v>1</v>
      </c>
      <c r="Q192">
        <v>7864.6460676779388</v>
      </c>
      <c r="R192">
        <v>500</v>
      </c>
      <c r="S192">
        <v>8.8646460676779384</v>
      </c>
      <c r="T192">
        <v>0</v>
      </c>
      <c r="U192">
        <v>0</v>
      </c>
      <c r="V192">
        <v>0</v>
      </c>
    </row>
    <row r="193" spans="1:22" x14ac:dyDescent="0.25">
      <c r="A193"/>
      <c r="B193">
        <v>11140</v>
      </c>
      <c r="C193" t="s">
        <v>240</v>
      </c>
      <c r="D193" t="s">
        <v>47</v>
      </c>
      <c r="E193" t="s">
        <v>436</v>
      </c>
      <c r="F193" t="s">
        <v>101</v>
      </c>
      <c r="G193">
        <v>7908.2299999999896</v>
      </c>
      <c r="H193" t="s">
        <v>451</v>
      </c>
      <c r="I193">
        <v>0</v>
      </c>
      <c r="J193">
        <v>0</v>
      </c>
      <c r="K193">
        <v>0</v>
      </c>
      <c r="L193">
        <v>0</v>
      </c>
      <c r="M193" t="s">
        <v>101</v>
      </c>
      <c r="N193">
        <v>7908.2299999999896</v>
      </c>
      <c r="O193" t="s">
        <v>451</v>
      </c>
      <c r="P193" t="b">
        <v>1</v>
      </c>
      <c r="Q193">
        <v>7908.2260458879546</v>
      </c>
      <c r="R193">
        <v>500</v>
      </c>
      <c r="S193">
        <v>8.9082260458879539</v>
      </c>
      <c r="T193">
        <v>0</v>
      </c>
      <c r="U193">
        <v>0</v>
      </c>
      <c r="V193">
        <v>0</v>
      </c>
    </row>
    <row r="194" spans="1:22" x14ac:dyDescent="0.25">
      <c r="A194"/>
      <c r="B194">
        <v>11141</v>
      </c>
      <c r="C194" t="s">
        <v>241</v>
      </c>
      <c r="D194" t="s">
        <v>47</v>
      </c>
      <c r="E194" t="s">
        <v>436</v>
      </c>
      <c r="F194" t="s">
        <v>101</v>
      </c>
      <c r="G194">
        <v>7963.63</v>
      </c>
      <c r="H194" t="s">
        <v>451</v>
      </c>
      <c r="I194">
        <v>0</v>
      </c>
      <c r="J194">
        <v>0</v>
      </c>
      <c r="K194">
        <v>0</v>
      </c>
      <c r="L194">
        <v>0</v>
      </c>
      <c r="M194" t="s">
        <v>101</v>
      </c>
      <c r="N194">
        <v>7963.63</v>
      </c>
      <c r="O194" t="s">
        <v>451</v>
      </c>
      <c r="P194" t="b">
        <v>1</v>
      </c>
      <c r="Q194">
        <v>7963.6260181879861</v>
      </c>
      <c r="R194">
        <v>500</v>
      </c>
      <c r="S194">
        <v>8.9636260181879877</v>
      </c>
      <c r="T194">
        <v>0</v>
      </c>
      <c r="U194">
        <v>0</v>
      </c>
      <c r="V194">
        <v>0</v>
      </c>
    </row>
    <row r="195" spans="1:22" x14ac:dyDescent="0.25">
      <c r="A195"/>
      <c r="B195">
        <v>11142</v>
      </c>
      <c r="C195" t="s">
        <v>242</v>
      </c>
      <c r="D195" t="s">
        <v>47</v>
      </c>
      <c r="E195" t="s">
        <v>436</v>
      </c>
      <c r="F195" t="s">
        <v>101</v>
      </c>
      <c r="G195">
        <v>8066</v>
      </c>
      <c r="H195" t="s">
        <v>451</v>
      </c>
      <c r="I195">
        <v>0</v>
      </c>
      <c r="J195">
        <v>0</v>
      </c>
      <c r="K195">
        <v>0</v>
      </c>
      <c r="L195">
        <v>0</v>
      </c>
      <c r="M195" t="s">
        <v>101</v>
      </c>
      <c r="N195">
        <v>8066</v>
      </c>
      <c r="O195" t="s">
        <v>451</v>
      </c>
      <c r="P195" t="b">
        <v>1</v>
      </c>
      <c r="Q195">
        <v>8065.9959670030248</v>
      </c>
      <c r="R195">
        <v>500</v>
      </c>
      <c r="S195">
        <v>9.0659959670030243</v>
      </c>
      <c r="T195">
        <v>0</v>
      </c>
      <c r="U195">
        <v>0</v>
      </c>
      <c r="V195">
        <v>0</v>
      </c>
    </row>
    <row r="196" spans="1:22" x14ac:dyDescent="0.25">
      <c r="A196"/>
      <c r="B196">
        <v>11143</v>
      </c>
      <c r="C196" t="s">
        <v>243</v>
      </c>
      <c r="D196" t="s">
        <v>47</v>
      </c>
      <c r="E196" t="s">
        <v>436</v>
      </c>
      <c r="F196" t="s">
        <v>101</v>
      </c>
      <c r="G196">
        <v>8186</v>
      </c>
      <c r="H196" t="s">
        <v>451</v>
      </c>
      <c r="I196">
        <v>0</v>
      </c>
      <c r="J196">
        <v>0</v>
      </c>
      <c r="K196">
        <v>0</v>
      </c>
      <c r="L196">
        <v>0</v>
      </c>
      <c r="M196" t="s">
        <v>101</v>
      </c>
      <c r="N196">
        <v>8186</v>
      </c>
      <c r="O196" t="s">
        <v>451</v>
      </c>
      <c r="P196" t="b">
        <v>1</v>
      </c>
      <c r="Q196">
        <v>8185.9959070030691</v>
      </c>
      <c r="R196">
        <v>500</v>
      </c>
      <c r="S196">
        <v>9.1859959070030701</v>
      </c>
      <c r="T196">
        <v>0</v>
      </c>
      <c r="U196">
        <v>0</v>
      </c>
      <c r="V196">
        <v>0</v>
      </c>
    </row>
    <row r="197" spans="1:22" x14ac:dyDescent="0.25">
      <c r="A197"/>
      <c r="B197">
        <v>11144</v>
      </c>
      <c r="C197" t="s">
        <v>244</v>
      </c>
      <c r="D197" t="s">
        <v>47</v>
      </c>
      <c r="E197" t="s">
        <v>436</v>
      </c>
      <c r="F197" t="s">
        <v>101</v>
      </c>
      <c r="G197">
        <v>8207</v>
      </c>
      <c r="H197" t="s">
        <v>451</v>
      </c>
      <c r="I197">
        <v>0</v>
      </c>
      <c r="J197">
        <v>0</v>
      </c>
      <c r="K197">
        <v>0</v>
      </c>
      <c r="L197">
        <v>0</v>
      </c>
      <c r="M197" t="s">
        <v>101</v>
      </c>
      <c r="N197">
        <v>8207</v>
      </c>
      <c r="O197" t="s">
        <v>451</v>
      </c>
      <c r="P197" t="b">
        <v>1</v>
      </c>
      <c r="Q197">
        <v>8206.9958965030764</v>
      </c>
      <c r="R197">
        <v>500</v>
      </c>
      <c r="S197">
        <v>9.2069958965030771</v>
      </c>
      <c r="T197">
        <v>0</v>
      </c>
      <c r="U197">
        <v>0</v>
      </c>
      <c r="V197">
        <v>0</v>
      </c>
    </row>
    <row r="198" spans="1:22" x14ac:dyDescent="0.25">
      <c r="A198"/>
      <c r="B198">
        <v>11145</v>
      </c>
      <c r="C198" t="s">
        <v>245</v>
      </c>
      <c r="D198" t="s">
        <v>47</v>
      </c>
      <c r="E198" t="s">
        <v>436</v>
      </c>
      <c r="F198" t="s">
        <v>101</v>
      </c>
      <c r="G198">
        <v>8339.95999999999</v>
      </c>
      <c r="H198" t="s">
        <v>451</v>
      </c>
      <c r="I198">
        <v>0</v>
      </c>
      <c r="J198">
        <v>0</v>
      </c>
      <c r="K198">
        <v>0</v>
      </c>
      <c r="L198">
        <v>0</v>
      </c>
      <c r="M198" t="s">
        <v>101</v>
      </c>
      <c r="N198">
        <v>8339.95999999999</v>
      </c>
      <c r="O198" t="s">
        <v>451</v>
      </c>
      <c r="P198" t="b">
        <v>1</v>
      </c>
      <c r="Q198">
        <v>8339.9558300231165</v>
      </c>
      <c r="R198">
        <v>500</v>
      </c>
      <c r="S198">
        <v>9.3399558300231167</v>
      </c>
      <c r="T198">
        <v>0</v>
      </c>
      <c r="U198">
        <v>0</v>
      </c>
      <c r="V198">
        <v>0</v>
      </c>
    </row>
    <row r="199" spans="1:22" x14ac:dyDescent="0.25">
      <c r="A199"/>
      <c r="B199">
        <v>11146</v>
      </c>
      <c r="C199" t="s">
        <v>246</v>
      </c>
      <c r="D199" t="s">
        <v>47</v>
      </c>
      <c r="E199" t="s">
        <v>436</v>
      </c>
      <c r="F199" t="s">
        <v>101</v>
      </c>
      <c r="G199">
        <v>8416.02</v>
      </c>
      <c r="H199" t="s">
        <v>451</v>
      </c>
      <c r="I199">
        <v>0</v>
      </c>
      <c r="J199">
        <v>0</v>
      </c>
      <c r="K199">
        <v>0</v>
      </c>
      <c r="L199">
        <v>0</v>
      </c>
      <c r="M199" t="s">
        <v>101</v>
      </c>
      <c r="N199">
        <v>8416.02</v>
      </c>
      <c r="O199" t="s">
        <v>451</v>
      </c>
      <c r="P199" t="b">
        <v>1</v>
      </c>
      <c r="Q199">
        <v>8416.0157919931553</v>
      </c>
      <c r="R199">
        <v>500</v>
      </c>
      <c r="S199">
        <v>9.4160157919931571</v>
      </c>
      <c r="T199">
        <v>0</v>
      </c>
      <c r="U199">
        <v>0</v>
      </c>
      <c r="V199">
        <v>0</v>
      </c>
    </row>
    <row r="200" spans="1:22" x14ac:dyDescent="0.25">
      <c r="A200"/>
      <c r="B200">
        <v>11147</v>
      </c>
      <c r="C200" t="s">
        <v>247</v>
      </c>
      <c r="D200" t="s">
        <v>47</v>
      </c>
      <c r="E200" t="s">
        <v>436</v>
      </c>
      <c r="F200" t="s">
        <v>101</v>
      </c>
      <c r="G200">
        <v>8430.8799999999901</v>
      </c>
      <c r="H200" t="s">
        <v>451</v>
      </c>
      <c r="I200">
        <v>0</v>
      </c>
      <c r="J200">
        <v>0</v>
      </c>
      <c r="K200">
        <v>0</v>
      </c>
      <c r="L200">
        <v>0</v>
      </c>
      <c r="M200" t="s">
        <v>101</v>
      </c>
      <c r="N200">
        <v>8430.8799999999901</v>
      </c>
      <c r="O200" t="s">
        <v>451</v>
      </c>
      <c r="P200" t="b">
        <v>1</v>
      </c>
      <c r="Q200">
        <v>8430.8757845631517</v>
      </c>
      <c r="R200">
        <v>500</v>
      </c>
      <c r="S200">
        <v>9.4308757845631508</v>
      </c>
      <c r="T200">
        <v>0</v>
      </c>
      <c r="U200">
        <v>0</v>
      </c>
      <c r="V200">
        <v>0</v>
      </c>
    </row>
    <row r="201" spans="1:22" x14ac:dyDescent="0.25">
      <c r="A201"/>
      <c r="B201">
        <v>11148</v>
      </c>
      <c r="C201" t="s">
        <v>248</v>
      </c>
      <c r="D201" t="s">
        <v>47</v>
      </c>
      <c r="E201" t="s">
        <v>436</v>
      </c>
      <c r="F201" t="s">
        <v>101</v>
      </c>
      <c r="G201">
        <v>8433.8799999999901</v>
      </c>
      <c r="H201" t="s">
        <v>451</v>
      </c>
      <c r="I201">
        <v>0</v>
      </c>
      <c r="J201">
        <v>0</v>
      </c>
      <c r="K201">
        <v>0</v>
      </c>
      <c r="L201">
        <v>0</v>
      </c>
      <c r="M201" t="s">
        <v>101</v>
      </c>
      <c r="N201">
        <v>8433.8799999999901</v>
      </c>
      <c r="O201" t="s">
        <v>451</v>
      </c>
      <c r="P201" t="b">
        <v>1</v>
      </c>
      <c r="Q201">
        <v>8433.875783063153</v>
      </c>
      <c r="R201">
        <v>500</v>
      </c>
      <c r="S201">
        <v>9.4338757830631526</v>
      </c>
      <c r="T201">
        <v>0</v>
      </c>
      <c r="U201">
        <v>0</v>
      </c>
      <c r="V201">
        <v>0</v>
      </c>
    </row>
    <row r="202" spans="1:22" x14ac:dyDescent="0.25">
      <c r="A202"/>
      <c r="B202">
        <v>11149</v>
      </c>
      <c r="C202" t="s">
        <v>249</v>
      </c>
      <c r="D202" t="s">
        <v>47</v>
      </c>
      <c r="E202" t="s">
        <v>436</v>
      </c>
      <c r="F202" t="s">
        <v>101</v>
      </c>
      <c r="G202">
        <v>8453.7999999999902</v>
      </c>
      <c r="H202" t="s">
        <v>451</v>
      </c>
      <c r="I202">
        <v>0</v>
      </c>
      <c r="J202">
        <v>0</v>
      </c>
      <c r="K202">
        <v>0</v>
      </c>
      <c r="L202">
        <v>0</v>
      </c>
      <c r="M202" t="s">
        <v>101</v>
      </c>
      <c r="N202">
        <v>8453.7999999999902</v>
      </c>
      <c r="O202" t="s">
        <v>451</v>
      </c>
      <c r="P202" t="b">
        <v>1</v>
      </c>
      <c r="Q202">
        <v>8453.7957731031602</v>
      </c>
      <c r="R202">
        <v>500</v>
      </c>
      <c r="S202">
        <v>9.4537957731031597</v>
      </c>
      <c r="T202">
        <v>0</v>
      </c>
      <c r="U202">
        <v>0</v>
      </c>
      <c r="V202">
        <v>0</v>
      </c>
    </row>
    <row r="203" spans="1:22" x14ac:dyDescent="0.25">
      <c r="A203"/>
      <c r="B203">
        <v>11150</v>
      </c>
      <c r="C203" t="s">
        <v>250</v>
      </c>
      <c r="D203" t="s">
        <v>47</v>
      </c>
      <c r="E203" t="s">
        <v>436</v>
      </c>
      <c r="F203" t="s">
        <v>101</v>
      </c>
      <c r="G203">
        <v>8456.7999999999902</v>
      </c>
      <c r="H203" t="s">
        <v>451</v>
      </c>
      <c r="I203">
        <v>0</v>
      </c>
      <c r="J203">
        <v>0</v>
      </c>
      <c r="K203">
        <v>0</v>
      </c>
      <c r="L203">
        <v>0</v>
      </c>
      <c r="M203" t="s">
        <v>101</v>
      </c>
      <c r="N203">
        <v>8456.7999999999902</v>
      </c>
      <c r="O203" t="s">
        <v>451</v>
      </c>
      <c r="P203" t="b">
        <v>1</v>
      </c>
      <c r="Q203">
        <v>8456.7957716031615</v>
      </c>
      <c r="R203">
        <v>500</v>
      </c>
      <c r="S203">
        <v>9.4567957716031614</v>
      </c>
      <c r="T203">
        <v>0</v>
      </c>
      <c r="U203">
        <v>0</v>
      </c>
      <c r="V203">
        <v>0</v>
      </c>
    </row>
    <row r="204" spans="1:22" x14ac:dyDescent="0.25">
      <c r="A204"/>
      <c r="B204">
        <v>11151</v>
      </c>
      <c r="C204" t="s">
        <v>251</v>
      </c>
      <c r="D204" t="s">
        <v>47</v>
      </c>
      <c r="E204" t="s">
        <v>436</v>
      </c>
      <c r="F204" t="s">
        <v>101</v>
      </c>
      <c r="G204">
        <v>8514.8199999999906</v>
      </c>
      <c r="H204" t="s">
        <v>451</v>
      </c>
      <c r="I204">
        <v>0</v>
      </c>
      <c r="J204">
        <v>0</v>
      </c>
      <c r="K204">
        <v>0</v>
      </c>
      <c r="L204">
        <v>0</v>
      </c>
      <c r="M204" t="s">
        <v>101</v>
      </c>
      <c r="N204">
        <v>8514.8199999999906</v>
      </c>
      <c r="O204" t="s">
        <v>451</v>
      </c>
      <c r="P204" t="b">
        <v>1</v>
      </c>
      <c r="Q204">
        <v>8514.815742593184</v>
      </c>
      <c r="R204">
        <v>500</v>
      </c>
      <c r="S204">
        <v>9.5148157425931839</v>
      </c>
      <c r="T204">
        <v>0</v>
      </c>
      <c r="U204">
        <v>0</v>
      </c>
      <c r="V204">
        <v>0</v>
      </c>
    </row>
    <row r="205" spans="1:22" x14ac:dyDescent="0.25">
      <c r="A205"/>
      <c r="B205">
        <v>11152</v>
      </c>
      <c r="C205" t="s">
        <v>252</v>
      </c>
      <c r="D205" t="s">
        <v>47</v>
      </c>
      <c r="E205" t="s">
        <v>436</v>
      </c>
      <c r="F205" t="s">
        <v>101</v>
      </c>
      <c r="G205">
        <v>8549.92</v>
      </c>
      <c r="H205" t="s">
        <v>451</v>
      </c>
      <c r="I205">
        <v>0</v>
      </c>
      <c r="J205">
        <v>0</v>
      </c>
      <c r="K205">
        <v>0</v>
      </c>
      <c r="L205">
        <v>0</v>
      </c>
      <c r="M205" t="s">
        <v>101</v>
      </c>
      <c r="N205">
        <v>8549.92</v>
      </c>
      <c r="O205" t="s">
        <v>451</v>
      </c>
      <c r="P205" t="b">
        <v>1</v>
      </c>
      <c r="Q205">
        <v>8549.9157250432054</v>
      </c>
      <c r="R205">
        <v>500</v>
      </c>
      <c r="S205">
        <v>9.5499157250432063</v>
      </c>
      <c r="T205">
        <v>0</v>
      </c>
      <c r="U205">
        <v>0</v>
      </c>
      <c r="V205">
        <v>0</v>
      </c>
    </row>
    <row r="206" spans="1:22" x14ac:dyDescent="0.25">
      <c r="A206"/>
      <c r="B206">
        <v>11153</v>
      </c>
      <c r="C206" t="s">
        <v>253</v>
      </c>
      <c r="D206" t="s">
        <v>47</v>
      </c>
      <c r="E206" t="s">
        <v>436</v>
      </c>
      <c r="F206" t="s">
        <v>101</v>
      </c>
      <c r="G206">
        <v>8552.92</v>
      </c>
      <c r="H206" t="s">
        <v>451</v>
      </c>
      <c r="I206">
        <v>0</v>
      </c>
      <c r="J206">
        <v>0</v>
      </c>
      <c r="K206">
        <v>0</v>
      </c>
      <c r="L206">
        <v>0</v>
      </c>
      <c r="M206" t="s">
        <v>101</v>
      </c>
      <c r="N206">
        <v>8552.92</v>
      </c>
      <c r="O206" t="s">
        <v>451</v>
      </c>
      <c r="P206" t="b">
        <v>1</v>
      </c>
      <c r="Q206">
        <v>8552.9157235432067</v>
      </c>
      <c r="R206">
        <v>500</v>
      </c>
      <c r="S206">
        <v>9.5529157235432081</v>
      </c>
      <c r="T206">
        <v>0</v>
      </c>
      <c r="U206">
        <v>0</v>
      </c>
      <c r="V206">
        <v>0</v>
      </c>
    </row>
    <row r="207" spans="1:22" x14ac:dyDescent="0.25">
      <c r="A207"/>
      <c r="B207">
        <v>11154</v>
      </c>
      <c r="C207" t="s">
        <v>254</v>
      </c>
      <c r="D207" t="s">
        <v>47</v>
      </c>
      <c r="E207" t="s">
        <v>436</v>
      </c>
      <c r="F207" t="s">
        <v>101</v>
      </c>
      <c r="G207">
        <v>8572.84</v>
      </c>
      <c r="H207" t="s">
        <v>451</v>
      </c>
      <c r="I207">
        <v>0</v>
      </c>
      <c r="J207">
        <v>0</v>
      </c>
      <c r="K207">
        <v>0</v>
      </c>
      <c r="L207">
        <v>0</v>
      </c>
      <c r="M207" t="s">
        <v>101</v>
      </c>
      <c r="N207">
        <v>8572.84</v>
      </c>
      <c r="O207" t="s">
        <v>451</v>
      </c>
      <c r="P207" t="b">
        <v>1</v>
      </c>
      <c r="Q207">
        <v>8572.8357135832139</v>
      </c>
      <c r="R207">
        <v>500</v>
      </c>
      <c r="S207">
        <v>9.5728357135832152</v>
      </c>
      <c r="T207">
        <v>0</v>
      </c>
      <c r="U207">
        <v>0</v>
      </c>
      <c r="V207">
        <v>0</v>
      </c>
    </row>
    <row r="208" spans="1:22" x14ac:dyDescent="0.25">
      <c r="A208"/>
      <c r="B208">
        <v>11155</v>
      </c>
      <c r="C208" t="s">
        <v>255</v>
      </c>
      <c r="D208" t="s">
        <v>47</v>
      </c>
      <c r="E208" t="s">
        <v>436</v>
      </c>
      <c r="F208" t="s">
        <v>101</v>
      </c>
      <c r="G208">
        <v>8575.84</v>
      </c>
      <c r="H208" t="s">
        <v>451</v>
      </c>
      <c r="I208">
        <v>0</v>
      </c>
      <c r="J208">
        <v>0</v>
      </c>
      <c r="K208">
        <v>0</v>
      </c>
      <c r="L208">
        <v>0</v>
      </c>
      <c r="M208" t="s">
        <v>101</v>
      </c>
      <c r="N208">
        <v>8575.84</v>
      </c>
      <c r="O208" t="s">
        <v>451</v>
      </c>
      <c r="P208" t="b">
        <v>1</v>
      </c>
      <c r="Q208">
        <v>8575.8357120832152</v>
      </c>
      <c r="R208">
        <v>500</v>
      </c>
      <c r="S208">
        <v>9.5758357120832152</v>
      </c>
      <c r="T208">
        <v>0</v>
      </c>
      <c r="U208">
        <v>0</v>
      </c>
      <c r="V208">
        <v>0</v>
      </c>
    </row>
    <row r="209" spans="1:22" x14ac:dyDescent="0.25">
      <c r="A209"/>
      <c r="B209">
        <v>11156</v>
      </c>
      <c r="C209" t="s">
        <v>256</v>
      </c>
      <c r="D209" t="s">
        <v>47</v>
      </c>
      <c r="E209" t="s">
        <v>436</v>
      </c>
      <c r="F209" t="s">
        <v>101</v>
      </c>
      <c r="G209">
        <v>8648</v>
      </c>
      <c r="H209" t="s">
        <v>451</v>
      </c>
      <c r="I209">
        <v>0</v>
      </c>
      <c r="J209">
        <v>0</v>
      </c>
      <c r="K209">
        <v>0</v>
      </c>
      <c r="L209">
        <v>0</v>
      </c>
      <c r="M209" t="s">
        <v>101</v>
      </c>
      <c r="N209">
        <v>8648</v>
      </c>
      <c r="O209" t="s">
        <v>451</v>
      </c>
      <c r="P209" t="b">
        <v>1</v>
      </c>
      <c r="Q209">
        <v>8647.9956760032419</v>
      </c>
      <c r="R209">
        <v>500</v>
      </c>
      <c r="S209">
        <v>9.6479956760032426</v>
      </c>
      <c r="T209">
        <v>0</v>
      </c>
      <c r="U209">
        <v>0</v>
      </c>
      <c r="V209">
        <v>0</v>
      </c>
    </row>
    <row r="210" spans="1:22" x14ac:dyDescent="0.25">
      <c r="A210"/>
      <c r="B210">
        <v>11157</v>
      </c>
      <c r="C210" t="s">
        <v>257</v>
      </c>
      <c r="D210" t="s">
        <v>47</v>
      </c>
      <c r="E210" t="s">
        <v>436</v>
      </c>
      <c r="F210" t="s">
        <v>101</v>
      </c>
      <c r="G210">
        <v>8669</v>
      </c>
      <c r="H210" t="s">
        <v>451</v>
      </c>
      <c r="I210">
        <v>0</v>
      </c>
      <c r="J210">
        <v>0</v>
      </c>
      <c r="K210">
        <v>0</v>
      </c>
      <c r="L210">
        <v>0</v>
      </c>
      <c r="M210" t="s">
        <v>101</v>
      </c>
      <c r="N210">
        <v>8669</v>
      </c>
      <c r="O210" t="s">
        <v>451</v>
      </c>
      <c r="P210" t="b">
        <v>1</v>
      </c>
      <c r="Q210">
        <v>8668.9956655032511</v>
      </c>
      <c r="R210">
        <v>500</v>
      </c>
      <c r="S210">
        <v>9.6689956655032514</v>
      </c>
      <c r="T210">
        <v>0</v>
      </c>
      <c r="U210">
        <v>0</v>
      </c>
      <c r="V210">
        <v>0</v>
      </c>
    </row>
    <row r="211" spans="1:22" x14ac:dyDescent="0.25">
      <c r="A211"/>
      <c r="B211">
        <v>11158</v>
      </c>
      <c r="C211" t="s">
        <v>258</v>
      </c>
      <c r="D211" t="s">
        <v>47</v>
      </c>
      <c r="E211" t="s">
        <v>436</v>
      </c>
      <c r="F211" t="s">
        <v>101</v>
      </c>
      <c r="G211">
        <v>8690</v>
      </c>
      <c r="H211" t="s">
        <v>451</v>
      </c>
      <c r="I211">
        <v>0</v>
      </c>
      <c r="J211">
        <v>0</v>
      </c>
      <c r="K211">
        <v>0</v>
      </c>
      <c r="L211">
        <v>0</v>
      </c>
      <c r="M211" t="s">
        <v>101</v>
      </c>
      <c r="N211">
        <v>8690</v>
      </c>
      <c r="O211" t="s">
        <v>451</v>
      </c>
      <c r="P211" t="b">
        <v>1</v>
      </c>
      <c r="Q211">
        <v>8689.9956550032584</v>
      </c>
      <c r="R211">
        <v>500</v>
      </c>
      <c r="S211">
        <v>9.6899956550032584</v>
      </c>
      <c r="T211">
        <v>0</v>
      </c>
      <c r="U211">
        <v>0</v>
      </c>
      <c r="V211">
        <v>0</v>
      </c>
    </row>
    <row r="212" spans="1:22" x14ac:dyDescent="0.25">
      <c r="A212"/>
      <c r="B212">
        <v>11159</v>
      </c>
      <c r="C212" t="s">
        <v>259</v>
      </c>
      <c r="D212" t="s">
        <v>47</v>
      </c>
      <c r="E212" t="s">
        <v>436</v>
      </c>
      <c r="F212" t="s">
        <v>101</v>
      </c>
      <c r="G212">
        <v>8751.84</v>
      </c>
      <c r="H212" t="s">
        <v>451</v>
      </c>
      <c r="I212">
        <v>0</v>
      </c>
      <c r="J212">
        <v>0</v>
      </c>
      <c r="K212">
        <v>0</v>
      </c>
      <c r="L212">
        <v>0</v>
      </c>
      <c r="M212" t="s">
        <v>101</v>
      </c>
      <c r="N212">
        <v>8751.84</v>
      </c>
      <c r="O212" t="s">
        <v>451</v>
      </c>
      <c r="P212" t="b">
        <v>1</v>
      </c>
      <c r="Q212">
        <v>8751.8356240832818</v>
      </c>
      <c r="R212">
        <v>500</v>
      </c>
      <c r="S212">
        <v>9.7518356240832826</v>
      </c>
      <c r="T212">
        <v>0</v>
      </c>
      <c r="U212">
        <v>0</v>
      </c>
      <c r="V212">
        <v>0</v>
      </c>
    </row>
    <row r="213" spans="1:22" x14ac:dyDescent="0.25">
      <c r="A213"/>
      <c r="B213">
        <v>11160</v>
      </c>
      <c r="C213" t="s">
        <v>260</v>
      </c>
      <c r="D213" t="s">
        <v>47</v>
      </c>
      <c r="E213" t="s">
        <v>436</v>
      </c>
      <c r="F213" t="s">
        <v>101</v>
      </c>
      <c r="G213">
        <v>8778.1599999999908</v>
      </c>
      <c r="H213" t="s">
        <v>451</v>
      </c>
      <c r="I213">
        <v>0</v>
      </c>
      <c r="J213">
        <v>0</v>
      </c>
      <c r="K213">
        <v>0</v>
      </c>
      <c r="L213">
        <v>0</v>
      </c>
      <c r="M213" t="s">
        <v>101</v>
      </c>
      <c r="N213">
        <v>8778.1599999999908</v>
      </c>
      <c r="O213" t="s">
        <v>451</v>
      </c>
      <c r="P213" t="b">
        <v>1</v>
      </c>
      <c r="Q213">
        <v>8778.1556109232824</v>
      </c>
      <c r="R213">
        <v>500</v>
      </c>
      <c r="S213">
        <v>9.7781556109232817</v>
      </c>
      <c r="T213">
        <v>0</v>
      </c>
      <c r="U213">
        <v>0</v>
      </c>
      <c r="V213">
        <v>0</v>
      </c>
    </row>
    <row r="214" spans="1:22" x14ac:dyDescent="0.25">
      <c r="A214"/>
      <c r="B214">
        <v>11161</v>
      </c>
      <c r="C214" t="s">
        <v>261</v>
      </c>
      <c r="D214" t="s">
        <v>47</v>
      </c>
      <c r="E214" t="s">
        <v>436</v>
      </c>
      <c r="F214" t="s">
        <v>101</v>
      </c>
      <c r="G214">
        <v>8828.19</v>
      </c>
      <c r="H214" t="s">
        <v>451</v>
      </c>
      <c r="I214">
        <v>0</v>
      </c>
      <c r="J214">
        <v>0</v>
      </c>
      <c r="K214">
        <v>0</v>
      </c>
      <c r="L214">
        <v>0</v>
      </c>
      <c r="M214" t="s">
        <v>101</v>
      </c>
      <c r="N214">
        <v>8828.19</v>
      </c>
      <c r="O214" t="s">
        <v>451</v>
      </c>
      <c r="P214" t="b">
        <v>1</v>
      </c>
      <c r="Q214">
        <v>8828.1855859083116</v>
      </c>
      <c r="R214">
        <v>500</v>
      </c>
      <c r="S214">
        <v>9.8281855859083116</v>
      </c>
      <c r="T214">
        <v>0</v>
      </c>
      <c r="U214">
        <v>0</v>
      </c>
      <c r="V214">
        <v>0</v>
      </c>
    </row>
    <row r="215" spans="1:22" x14ac:dyDescent="0.25">
      <c r="A215"/>
      <c r="B215">
        <v>11162</v>
      </c>
      <c r="C215" t="s">
        <v>262</v>
      </c>
      <c r="D215" t="s">
        <v>47</v>
      </c>
      <c r="E215" t="s">
        <v>436</v>
      </c>
      <c r="F215" t="s">
        <v>101</v>
      </c>
      <c r="G215">
        <v>8874.1599999999908</v>
      </c>
      <c r="H215" t="s">
        <v>451</v>
      </c>
      <c r="I215">
        <v>0</v>
      </c>
      <c r="J215">
        <v>0</v>
      </c>
      <c r="K215">
        <v>0</v>
      </c>
      <c r="L215">
        <v>0</v>
      </c>
      <c r="M215" t="s">
        <v>101</v>
      </c>
      <c r="N215">
        <v>8874.1599999999908</v>
      </c>
      <c r="O215" t="s">
        <v>451</v>
      </c>
      <c r="P215" t="b">
        <v>1</v>
      </c>
      <c r="Q215">
        <v>8874.1555629233189</v>
      </c>
      <c r="R215">
        <v>500</v>
      </c>
      <c r="S215">
        <v>9.8741555629233186</v>
      </c>
      <c r="T215">
        <v>0</v>
      </c>
      <c r="U215">
        <v>0</v>
      </c>
      <c r="V215">
        <v>0</v>
      </c>
    </row>
    <row r="216" spans="1:22" x14ac:dyDescent="0.25">
      <c r="A216"/>
      <c r="B216">
        <v>11163</v>
      </c>
      <c r="C216" t="s">
        <v>263</v>
      </c>
      <c r="D216" t="s">
        <v>47</v>
      </c>
      <c r="E216" t="s">
        <v>436</v>
      </c>
      <c r="F216" t="s">
        <v>101</v>
      </c>
      <c r="G216">
        <v>8970.1499999999905</v>
      </c>
      <c r="H216" t="s">
        <v>451</v>
      </c>
      <c r="I216">
        <v>0</v>
      </c>
      <c r="J216">
        <v>0</v>
      </c>
      <c r="K216">
        <v>0</v>
      </c>
      <c r="L216">
        <v>0</v>
      </c>
      <c r="M216" t="s">
        <v>101</v>
      </c>
      <c r="N216">
        <v>8970.1499999999905</v>
      </c>
      <c r="O216" t="s">
        <v>451</v>
      </c>
      <c r="P216" t="b">
        <v>1</v>
      </c>
      <c r="Q216">
        <v>8970.1455149283538</v>
      </c>
      <c r="R216">
        <v>500</v>
      </c>
      <c r="S216">
        <v>9.9701455149283547</v>
      </c>
      <c r="T216">
        <v>0</v>
      </c>
      <c r="U216">
        <v>0</v>
      </c>
      <c r="V216">
        <v>0</v>
      </c>
    </row>
    <row r="217" spans="1:22" x14ac:dyDescent="0.25">
      <c r="A217"/>
      <c r="B217">
        <v>11164</v>
      </c>
      <c r="C217" t="s">
        <v>264</v>
      </c>
      <c r="D217" t="s">
        <v>47</v>
      </c>
      <c r="E217" t="s">
        <v>436</v>
      </c>
      <c r="F217" t="s">
        <v>101</v>
      </c>
      <c r="G217">
        <v>8970.1499999999905</v>
      </c>
      <c r="H217" t="s">
        <v>451</v>
      </c>
      <c r="I217">
        <v>0</v>
      </c>
      <c r="J217">
        <v>0</v>
      </c>
      <c r="K217">
        <v>0</v>
      </c>
      <c r="L217">
        <v>0</v>
      </c>
      <c r="M217" t="s">
        <v>101</v>
      </c>
      <c r="N217">
        <v>8970.1499999999905</v>
      </c>
      <c r="O217" t="s">
        <v>451</v>
      </c>
      <c r="P217" t="b">
        <v>1</v>
      </c>
      <c r="Q217">
        <v>8970.1455149283538</v>
      </c>
      <c r="R217">
        <v>500</v>
      </c>
      <c r="S217">
        <v>9.9701455149283547</v>
      </c>
      <c r="T217">
        <v>0</v>
      </c>
      <c r="U217">
        <v>0</v>
      </c>
      <c r="V217">
        <v>0</v>
      </c>
    </row>
    <row r="218" spans="1:22" x14ac:dyDescent="0.25">
      <c r="A218"/>
      <c r="B218">
        <v>11165</v>
      </c>
      <c r="C218" t="s">
        <v>265</v>
      </c>
      <c r="D218" t="s">
        <v>47</v>
      </c>
      <c r="E218" t="s">
        <v>436</v>
      </c>
      <c r="F218" t="s">
        <v>101</v>
      </c>
      <c r="G218">
        <v>9006.0300000000007</v>
      </c>
      <c r="H218" t="s">
        <v>451</v>
      </c>
      <c r="I218">
        <v>0</v>
      </c>
      <c r="J218">
        <v>0</v>
      </c>
      <c r="K218">
        <v>0</v>
      </c>
      <c r="L218">
        <v>0</v>
      </c>
      <c r="M218" t="s">
        <v>101</v>
      </c>
      <c r="N218">
        <v>9006.0300000000007</v>
      </c>
      <c r="O218" t="s">
        <v>451</v>
      </c>
      <c r="P218" t="b">
        <v>1</v>
      </c>
      <c r="Q218">
        <v>9006.0254969883772</v>
      </c>
      <c r="R218">
        <v>500</v>
      </c>
      <c r="S218">
        <v>10.006025496988379</v>
      </c>
      <c r="T218">
        <v>0</v>
      </c>
      <c r="U218">
        <v>0</v>
      </c>
      <c r="V218">
        <v>0</v>
      </c>
    </row>
    <row r="219" spans="1:22" x14ac:dyDescent="0.25">
      <c r="A219"/>
      <c r="B219">
        <v>11166</v>
      </c>
      <c r="C219" t="s">
        <v>266</v>
      </c>
      <c r="D219" t="s">
        <v>47</v>
      </c>
      <c r="E219" t="s">
        <v>436</v>
      </c>
      <c r="F219" t="s">
        <v>101</v>
      </c>
      <c r="G219">
        <v>9072.5300000000007</v>
      </c>
      <c r="H219" t="s">
        <v>451</v>
      </c>
      <c r="I219">
        <v>0</v>
      </c>
      <c r="J219">
        <v>0</v>
      </c>
      <c r="K219">
        <v>0</v>
      </c>
      <c r="L219">
        <v>0</v>
      </c>
      <c r="M219" t="s">
        <v>101</v>
      </c>
      <c r="N219">
        <v>9072.5300000000007</v>
      </c>
      <c r="O219" t="s">
        <v>451</v>
      </c>
      <c r="P219" t="b">
        <v>1</v>
      </c>
      <c r="Q219">
        <v>9072.5254637384023</v>
      </c>
      <c r="R219">
        <v>500</v>
      </c>
      <c r="S219">
        <v>10.072525463738403</v>
      </c>
      <c r="T219">
        <v>0</v>
      </c>
      <c r="U219">
        <v>0</v>
      </c>
      <c r="V219">
        <v>0</v>
      </c>
    </row>
    <row r="220" spans="1:22" x14ac:dyDescent="0.25">
      <c r="A220"/>
      <c r="B220">
        <v>11167</v>
      </c>
      <c r="C220" t="s">
        <v>267</v>
      </c>
      <c r="D220" t="s">
        <v>47</v>
      </c>
      <c r="E220" t="s">
        <v>436</v>
      </c>
      <c r="F220" t="s">
        <v>101</v>
      </c>
      <c r="G220">
        <v>9249.7299999999905</v>
      </c>
      <c r="H220" t="s">
        <v>451</v>
      </c>
      <c r="I220">
        <v>0</v>
      </c>
      <c r="J220">
        <v>0</v>
      </c>
      <c r="K220">
        <v>0</v>
      </c>
      <c r="L220">
        <v>0</v>
      </c>
      <c r="M220" t="s">
        <v>101</v>
      </c>
      <c r="N220">
        <v>9249.7299999999905</v>
      </c>
      <c r="O220" t="s">
        <v>451</v>
      </c>
      <c r="P220" t="b">
        <v>1</v>
      </c>
      <c r="Q220">
        <v>9249.7253751384596</v>
      </c>
      <c r="R220">
        <v>500</v>
      </c>
      <c r="S220">
        <v>10.249725375138459</v>
      </c>
      <c r="T220">
        <v>0</v>
      </c>
      <c r="U220">
        <v>0</v>
      </c>
      <c r="V220">
        <v>0</v>
      </c>
    </row>
    <row r="221" spans="1:22" x14ac:dyDescent="0.25">
      <c r="A221"/>
      <c r="B221">
        <v>11168</v>
      </c>
      <c r="C221" t="s">
        <v>268</v>
      </c>
      <c r="D221" t="s">
        <v>47</v>
      </c>
      <c r="E221" t="s">
        <v>436</v>
      </c>
      <c r="F221" t="s">
        <v>101</v>
      </c>
      <c r="G221">
        <v>9338.8799999999901</v>
      </c>
      <c r="H221" t="s">
        <v>451</v>
      </c>
      <c r="I221">
        <v>0</v>
      </c>
      <c r="J221">
        <v>0</v>
      </c>
      <c r="K221">
        <v>0</v>
      </c>
      <c r="L221">
        <v>0</v>
      </c>
      <c r="M221" t="s">
        <v>101</v>
      </c>
      <c r="N221">
        <v>9338.8799999999901</v>
      </c>
      <c r="O221" t="s">
        <v>451</v>
      </c>
      <c r="P221" t="b">
        <v>1</v>
      </c>
      <c r="Q221">
        <v>9338.8753305634928</v>
      </c>
      <c r="R221">
        <v>500</v>
      </c>
      <c r="S221">
        <v>10.338875330563493</v>
      </c>
      <c r="T221">
        <v>0</v>
      </c>
      <c r="U221">
        <v>0</v>
      </c>
      <c r="V221">
        <v>0</v>
      </c>
    </row>
    <row r="222" spans="1:22" x14ac:dyDescent="0.25">
      <c r="A222"/>
      <c r="B222">
        <v>11169</v>
      </c>
      <c r="C222" t="s">
        <v>269</v>
      </c>
      <c r="D222" t="s">
        <v>47</v>
      </c>
      <c r="E222" t="s">
        <v>436</v>
      </c>
      <c r="F222" t="s">
        <v>101</v>
      </c>
      <c r="G222">
        <v>9388.86</v>
      </c>
      <c r="H222" t="s">
        <v>451</v>
      </c>
      <c r="I222">
        <v>0</v>
      </c>
      <c r="J222">
        <v>0</v>
      </c>
      <c r="K222">
        <v>0</v>
      </c>
      <c r="L222">
        <v>0</v>
      </c>
      <c r="M222" t="s">
        <v>101</v>
      </c>
      <c r="N222">
        <v>9388.86</v>
      </c>
      <c r="O222" t="s">
        <v>451</v>
      </c>
      <c r="P222" t="b">
        <v>1</v>
      </c>
      <c r="Q222">
        <v>9388.855305573521</v>
      </c>
      <c r="R222">
        <v>500</v>
      </c>
      <c r="S222">
        <v>10.388855305573522</v>
      </c>
      <c r="T222">
        <v>0</v>
      </c>
      <c r="U222">
        <v>0</v>
      </c>
      <c r="V222">
        <v>0</v>
      </c>
    </row>
    <row r="223" spans="1:22" x14ac:dyDescent="0.25">
      <c r="A223"/>
      <c r="B223">
        <v>11170</v>
      </c>
      <c r="C223" t="s">
        <v>270</v>
      </c>
      <c r="D223" t="s">
        <v>47</v>
      </c>
      <c r="E223" t="s">
        <v>436</v>
      </c>
      <c r="F223" t="s">
        <v>101</v>
      </c>
      <c r="G223">
        <v>9409.86</v>
      </c>
      <c r="H223" t="s">
        <v>451</v>
      </c>
      <c r="I223">
        <v>0</v>
      </c>
      <c r="J223">
        <v>0</v>
      </c>
      <c r="K223">
        <v>0</v>
      </c>
      <c r="L223">
        <v>0</v>
      </c>
      <c r="M223" t="s">
        <v>101</v>
      </c>
      <c r="N223">
        <v>9409.86</v>
      </c>
      <c r="O223" t="s">
        <v>451</v>
      </c>
      <c r="P223" t="b">
        <v>1</v>
      </c>
      <c r="Q223">
        <v>9409.8552950735284</v>
      </c>
      <c r="R223">
        <v>500</v>
      </c>
      <c r="S223">
        <v>10.409855295073529</v>
      </c>
      <c r="T223">
        <v>0</v>
      </c>
      <c r="U223">
        <v>0</v>
      </c>
      <c r="V223">
        <v>0</v>
      </c>
    </row>
    <row r="224" spans="1:22" x14ac:dyDescent="0.25">
      <c r="A224"/>
      <c r="B224">
        <v>11171</v>
      </c>
      <c r="C224" t="s">
        <v>271</v>
      </c>
      <c r="D224" t="s">
        <v>47</v>
      </c>
      <c r="E224" t="s">
        <v>436</v>
      </c>
      <c r="F224" t="s">
        <v>101</v>
      </c>
      <c r="G224">
        <v>9463.9099999999908</v>
      </c>
      <c r="H224" t="s">
        <v>451</v>
      </c>
      <c r="I224">
        <v>0</v>
      </c>
      <c r="J224">
        <v>0</v>
      </c>
      <c r="K224">
        <v>0</v>
      </c>
      <c r="L224">
        <v>0</v>
      </c>
      <c r="M224" t="s">
        <v>101</v>
      </c>
      <c r="N224">
        <v>9463.9099999999908</v>
      </c>
      <c r="O224" t="s">
        <v>451</v>
      </c>
      <c r="P224" t="b">
        <v>1</v>
      </c>
      <c r="Q224">
        <v>9463.9052680485402</v>
      </c>
      <c r="R224">
        <v>500</v>
      </c>
      <c r="S224">
        <v>10.46390526804854</v>
      </c>
      <c r="T224">
        <v>0</v>
      </c>
      <c r="U224">
        <v>0</v>
      </c>
      <c r="V224">
        <v>0</v>
      </c>
    </row>
    <row r="225" spans="1:22" x14ac:dyDescent="0.25">
      <c r="A225"/>
      <c r="B225">
        <v>11172</v>
      </c>
      <c r="C225" t="s">
        <v>272</v>
      </c>
      <c r="D225" t="s">
        <v>47</v>
      </c>
      <c r="E225" t="s">
        <v>436</v>
      </c>
      <c r="F225" t="s">
        <v>101</v>
      </c>
      <c r="G225">
        <v>9466.9099999999908</v>
      </c>
      <c r="H225" t="s">
        <v>451</v>
      </c>
      <c r="I225">
        <v>0</v>
      </c>
      <c r="J225">
        <v>0</v>
      </c>
      <c r="K225">
        <v>0</v>
      </c>
      <c r="L225">
        <v>0</v>
      </c>
      <c r="M225" t="s">
        <v>101</v>
      </c>
      <c r="N225">
        <v>9466.9099999999908</v>
      </c>
      <c r="O225" t="s">
        <v>451</v>
      </c>
      <c r="P225" t="b">
        <v>1</v>
      </c>
      <c r="Q225">
        <v>9466.9052665485397</v>
      </c>
      <c r="R225">
        <v>500</v>
      </c>
      <c r="S225">
        <v>10.46690526654854</v>
      </c>
      <c r="T225">
        <v>0</v>
      </c>
      <c r="U225">
        <v>0</v>
      </c>
      <c r="V225">
        <v>0</v>
      </c>
    </row>
    <row r="226" spans="1:22" x14ac:dyDescent="0.25">
      <c r="A226"/>
      <c r="B226">
        <v>11173</v>
      </c>
      <c r="C226" t="s">
        <v>273</v>
      </c>
      <c r="D226" t="s">
        <v>47</v>
      </c>
      <c r="E226" t="s">
        <v>436</v>
      </c>
      <c r="F226" t="s">
        <v>101</v>
      </c>
      <c r="G226">
        <v>9486.8299999999908</v>
      </c>
      <c r="H226" t="s">
        <v>451</v>
      </c>
      <c r="I226">
        <v>0</v>
      </c>
      <c r="J226">
        <v>0</v>
      </c>
      <c r="K226">
        <v>0</v>
      </c>
      <c r="L226">
        <v>0</v>
      </c>
      <c r="M226" t="s">
        <v>101</v>
      </c>
      <c r="N226">
        <v>9486.8299999999908</v>
      </c>
      <c r="O226" t="s">
        <v>451</v>
      </c>
      <c r="P226" t="b">
        <v>1</v>
      </c>
      <c r="Q226">
        <v>9486.8252565885487</v>
      </c>
      <c r="R226">
        <v>500</v>
      </c>
      <c r="S226">
        <v>10.486825256588547</v>
      </c>
      <c r="T226">
        <v>0</v>
      </c>
      <c r="U226">
        <v>0</v>
      </c>
      <c r="V226">
        <v>0</v>
      </c>
    </row>
    <row r="227" spans="1:22" x14ac:dyDescent="0.25">
      <c r="A227"/>
      <c r="B227">
        <v>11174</v>
      </c>
      <c r="C227" t="s">
        <v>274</v>
      </c>
      <c r="D227" t="s">
        <v>47</v>
      </c>
      <c r="E227" t="s">
        <v>436</v>
      </c>
      <c r="F227" t="s">
        <v>101</v>
      </c>
      <c r="G227">
        <v>9489.8299999999908</v>
      </c>
      <c r="H227" t="s">
        <v>451</v>
      </c>
      <c r="I227">
        <v>0</v>
      </c>
      <c r="J227">
        <v>0</v>
      </c>
      <c r="K227">
        <v>0</v>
      </c>
      <c r="L227">
        <v>0</v>
      </c>
      <c r="M227" t="s">
        <v>101</v>
      </c>
      <c r="N227">
        <v>9489.8299999999908</v>
      </c>
      <c r="O227" t="s">
        <v>451</v>
      </c>
      <c r="P227" t="b">
        <v>1</v>
      </c>
      <c r="Q227">
        <v>9489.82525508855</v>
      </c>
      <c r="R227">
        <v>500</v>
      </c>
      <c r="S227">
        <v>10.489825255088549</v>
      </c>
      <c r="T227">
        <v>0</v>
      </c>
      <c r="U227">
        <v>0</v>
      </c>
      <c r="V227">
        <v>0</v>
      </c>
    </row>
    <row r="228" spans="1:22" x14ac:dyDescent="0.25">
      <c r="A228"/>
      <c r="B228">
        <v>11175</v>
      </c>
      <c r="C228" t="s">
        <v>275</v>
      </c>
      <c r="D228" t="s">
        <v>47</v>
      </c>
      <c r="E228" t="s">
        <v>436</v>
      </c>
      <c r="F228" t="s">
        <v>101</v>
      </c>
      <c r="G228">
        <v>9547.85</v>
      </c>
      <c r="H228" t="s">
        <v>451</v>
      </c>
      <c r="I228">
        <v>0</v>
      </c>
      <c r="J228">
        <v>0</v>
      </c>
      <c r="K228">
        <v>0</v>
      </c>
      <c r="L228">
        <v>0</v>
      </c>
      <c r="M228" t="s">
        <v>101</v>
      </c>
      <c r="N228">
        <v>9547.85</v>
      </c>
      <c r="O228" t="s">
        <v>451</v>
      </c>
      <c r="P228" t="b">
        <v>1</v>
      </c>
      <c r="Q228">
        <v>9547.8452260785798</v>
      </c>
      <c r="R228">
        <v>500</v>
      </c>
      <c r="S228">
        <v>10.54784522607858</v>
      </c>
      <c r="T228">
        <v>0</v>
      </c>
      <c r="U228">
        <v>0</v>
      </c>
      <c r="V228">
        <v>0</v>
      </c>
    </row>
    <row r="229" spans="1:22" x14ac:dyDescent="0.25">
      <c r="A229"/>
      <c r="B229">
        <v>11176</v>
      </c>
      <c r="C229" t="s">
        <v>276</v>
      </c>
      <c r="D229" t="s">
        <v>47</v>
      </c>
      <c r="E229" t="s">
        <v>436</v>
      </c>
      <c r="F229" t="s">
        <v>101</v>
      </c>
      <c r="G229">
        <v>9582.9500000000007</v>
      </c>
      <c r="H229" t="s">
        <v>451</v>
      </c>
      <c r="I229">
        <v>0</v>
      </c>
      <c r="J229">
        <v>0</v>
      </c>
      <c r="K229">
        <v>0</v>
      </c>
      <c r="L229">
        <v>0</v>
      </c>
      <c r="M229" t="s">
        <v>101</v>
      </c>
      <c r="N229">
        <v>9582.9500000000007</v>
      </c>
      <c r="O229" t="s">
        <v>451</v>
      </c>
      <c r="P229" t="b">
        <v>1</v>
      </c>
      <c r="Q229">
        <v>9582.9452085285939</v>
      </c>
      <c r="R229">
        <v>500</v>
      </c>
      <c r="S229">
        <v>10.582945208528594</v>
      </c>
      <c r="T229">
        <v>0</v>
      </c>
      <c r="U229">
        <v>0</v>
      </c>
      <c r="V229">
        <v>0</v>
      </c>
    </row>
    <row r="230" spans="1:22" x14ac:dyDescent="0.25">
      <c r="A230"/>
      <c r="B230">
        <v>11177</v>
      </c>
      <c r="C230" t="s">
        <v>277</v>
      </c>
      <c r="D230" t="s">
        <v>47</v>
      </c>
      <c r="E230" t="s">
        <v>436</v>
      </c>
      <c r="F230" t="s">
        <v>101</v>
      </c>
      <c r="G230">
        <v>9585.9500000000007</v>
      </c>
      <c r="H230" t="s">
        <v>451</v>
      </c>
      <c r="I230">
        <v>0</v>
      </c>
      <c r="J230">
        <v>0</v>
      </c>
      <c r="K230">
        <v>0</v>
      </c>
      <c r="L230">
        <v>0</v>
      </c>
      <c r="M230" t="s">
        <v>101</v>
      </c>
      <c r="N230">
        <v>9585.9500000000007</v>
      </c>
      <c r="O230" t="s">
        <v>451</v>
      </c>
      <c r="P230" t="b">
        <v>1</v>
      </c>
      <c r="Q230">
        <v>9585.9452070285952</v>
      </c>
      <c r="R230">
        <v>500</v>
      </c>
      <c r="S230">
        <v>10.585945207028596</v>
      </c>
      <c r="T230">
        <v>0</v>
      </c>
      <c r="U230">
        <v>0</v>
      </c>
      <c r="V230">
        <v>0</v>
      </c>
    </row>
    <row r="231" spans="1:22" x14ac:dyDescent="0.25">
      <c r="A231"/>
      <c r="B231">
        <v>11178</v>
      </c>
      <c r="C231" t="s">
        <v>278</v>
      </c>
      <c r="D231" t="s">
        <v>47</v>
      </c>
      <c r="E231" t="s">
        <v>436</v>
      </c>
      <c r="F231" t="s">
        <v>101</v>
      </c>
      <c r="G231">
        <v>9605.8700000000008</v>
      </c>
      <c r="H231" t="s">
        <v>451</v>
      </c>
      <c r="I231">
        <v>0</v>
      </c>
      <c r="J231">
        <v>0</v>
      </c>
      <c r="K231">
        <v>0</v>
      </c>
      <c r="L231">
        <v>0</v>
      </c>
      <c r="M231" t="s">
        <v>101</v>
      </c>
      <c r="N231">
        <v>9605.8700000000008</v>
      </c>
      <c r="O231" t="s">
        <v>451</v>
      </c>
      <c r="P231" t="b">
        <v>1</v>
      </c>
      <c r="Q231">
        <v>9605.8651970686024</v>
      </c>
      <c r="R231">
        <v>500</v>
      </c>
      <c r="S231">
        <v>10.605865197068603</v>
      </c>
      <c r="T231">
        <v>0</v>
      </c>
      <c r="U231">
        <v>0</v>
      </c>
      <c r="V231">
        <v>0</v>
      </c>
    </row>
    <row r="232" spans="1:22" x14ac:dyDescent="0.25">
      <c r="A232"/>
      <c r="B232">
        <v>11179</v>
      </c>
      <c r="C232" t="s">
        <v>279</v>
      </c>
      <c r="D232" t="s">
        <v>47</v>
      </c>
      <c r="E232" t="s">
        <v>436</v>
      </c>
      <c r="F232" t="s">
        <v>101</v>
      </c>
      <c r="G232">
        <v>9608.8700000000008</v>
      </c>
      <c r="H232" t="s">
        <v>451</v>
      </c>
      <c r="I232">
        <v>0</v>
      </c>
      <c r="J232">
        <v>0</v>
      </c>
      <c r="K232">
        <v>0</v>
      </c>
      <c r="L232">
        <v>0</v>
      </c>
      <c r="M232" t="s">
        <v>101</v>
      </c>
      <c r="N232">
        <v>9608.8700000000008</v>
      </c>
      <c r="O232" t="s">
        <v>451</v>
      </c>
      <c r="P232" t="b">
        <v>1</v>
      </c>
      <c r="Q232">
        <v>9608.8651955686037</v>
      </c>
      <c r="R232">
        <v>500</v>
      </c>
      <c r="S232">
        <v>10.608865195568605</v>
      </c>
      <c r="T232">
        <v>0</v>
      </c>
      <c r="U232">
        <v>0</v>
      </c>
      <c r="V232">
        <v>0</v>
      </c>
    </row>
    <row r="233" spans="1:22" x14ac:dyDescent="0.25">
      <c r="A233"/>
      <c r="B233">
        <v>11180</v>
      </c>
      <c r="C233" t="s">
        <v>280</v>
      </c>
      <c r="D233" t="s">
        <v>47</v>
      </c>
      <c r="E233" t="s">
        <v>436</v>
      </c>
      <c r="F233" t="s">
        <v>101</v>
      </c>
      <c r="G233">
        <v>9661.2900000000009</v>
      </c>
      <c r="H233" t="s">
        <v>451</v>
      </c>
      <c r="I233">
        <v>0</v>
      </c>
      <c r="J233">
        <v>0</v>
      </c>
      <c r="K233">
        <v>0</v>
      </c>
      <c r="L233">
        <v>0</v>
      </c>
      <c r="M233" t="s">
        <v>101</v>
      </c>
      <c r="N233">
        <v>9661.2900000000009</v>
      </c>
      <c r="O233" t="s">
        <v>451</v>
      </c>
      <c r="P233" t="b">
        <v>1</v>
      </c>
      <c r="Q233">
        <v>9661.2851693586235</v>
      </c>
      <c r="R233">
        <v>500</v>
      </c>
      <c r="S233">
        <v>10.661285169358624</v>
      </c>
      <c r="T233">
        <v>0</v>
      </c>
      <c r="U233">
        <v>0</v>
      </c>
      <c r="V233">
        <v>0</v>
      </c>
    </row>
    <row r="234" spans="1:22" x14ac:dyDescent="0.25">
      <c r="A234"/>
      <c r="B234">
        <v>11181</v>
      </c>
      <c r="C234" t="s">
        <v>281</v>
      </c>
      <c r="D234" t="s">
        <v>47</v>
      </c>
      <c r="E234" t="s">
        <v>436</v>
      </c>
      <c r="F234" t="s">
        <v>101</v>
      </c>
      <c r="G234">
        <v>9742</v>
      </c>
      <c r="H234" t="s">
        <v>451</v>
      </c>
      <c r="I234">
        <v>0</v>
      </c>
      <c r="J234">
        <v>0</v>
      </c>
      <c r="K234">
        <v>0</v>
      </c>
      <c r="L234">
        <v>0</v>
      </c>
      <c r="M234" t="s">
        <v>101</v>
      </c>
      <c r="N234">
        <v>9742</v>
      </c>
      <c r="O234" t="s">
        <v>451</v>
      </c>
      <c r="P234" t="b">
        <v>1</v>
      </c>
      <c r="Q234">
        <v>9741.9951290036533</v>
      </c>
      <c r="R234">
        <v>500</v>
      </c>
      <c r="S234">
        <v>10.741995129003653</v>
      </c>
      <c r="T234">
        <v>0</v>
      </c>
      <c r="U234">
        <v>0</v>
      </c>
      <c r="V234">
        <v>0</v>
      </c>
    </row>
    <row r="235" spans="1:22" x14ac:dyDescent="0.25">
      <c r="A235"/>
      <c r="B235">
        <v>11182</v>
      </c>
      <c r="C235" t="s">
        <v>282</v>
      </c>
      <c r="D235" t="s">
        <v>47</v>
      </c>
      <c r="E235" t="s">
        <v>436</v>
      </c>
      <c r="F235" t="s">
        <v>101</v>
      </c>
      <c r="G235">
        <v>9763</v>
      </c>
      <c r="H235" t="s">
        <v>451</v>
      </c>
      <c r="I235">
        <v>0</v>
      </c>
      <c r="J235">
        <v>0</v>
      </c>
      <c r="K235">
        <v>0</v>
      </c>
      <c r="L235">
        <v>0</v>
      </c>
      <c r="M235" t="s">
        <v>101</v>
      </c>
      <c r="N235">
        <v>9763</v>
      </c>
      <c r="O235" t="s">
        <v>451</v>
      </c>
      <c r="P235" t="b">
        <v>1</v>
      </c>
      <c r="Q235">
        <v>9762.9951185036607</v>
      </c>
      <c r="R235">
        <v>500</v>
      </c>
      <c r="S235">
        <v>10.76299511850366</v>
      </c>
      <c r="T235">
        <v>0</v>
      </c>
      <c r="U235">
        <v>0</v>
      </c>
      <c r="V235">
        <v>0</v>
      </c>
    </row>
    <row r="236" spans="1:22" x14ac:dyDescent="0.25">
      <c r="A236"/>
      <c r="B236">
        <v>11183</v>
      </c>
      <c r="C236" t="s">
        <v>283</v>
      </c>
      <c r="D236" t="s">
        <v>47</v>
      </c>
      <c r="E236" t="s">
        <v>436</v>
      </c>
      <c r="F236" t="s">
        <v>101</v>
      </c>
      <c r="G236">
        <v>9883</v>
      </c>
      <c r="H236" t="s">
        <v>451</v>
      </c>
      <c r="I236">
        <v>0</v>
      </c>
      <c r="J236">
        <v>0</v>
      </c>
      <c r="K236">
        <v>0</v>
      </c>
      <c r="L236">
        <v>0</v>
      </c>
      <c r="M236" t="s">
        <v>101</v>
      </c>
      <c r="N236">
        <v>9883</v>
      </c>
      <c r="O236" t="s">
        <v>451</v>
      </c>
      <c r="P236" t="b">
        <v>1</v>
      </c>
      <c r="Q236">
        <v>9882.9950585037059</v>
      </c>
      <c r="R236">
        <v>500</v>
      </c>
      <c r="S236">
        <v>10.882995058503706</v>
      </c>
      <c r="T236">
        <v>0</v>
      </c>
      <c r="U236">
        <v>0</v>
      </c>
      <c r="V236">
        <v>0</v>
      </c>
    </row>
    <row r="237" spans="1:22" x14ac:dyDescent="0.25">
      <c r="A237"/>
      <c r="B237">
        <v>11184</v>
      </c>
      <c r="C237" t="s">
        <v>284</v>
      </c>
      <c r="D237" t="s">
        <v>47</v>
      </c>
      <c r="E237" t="s">
        <v>436</v>
      </c>
      <c r="F237" t="s">
        <v>101</v>
      </c>
      <c r="G237">
        <v>10083</v>
      </c>
      <c r="H237" t="s">
        <v>451</v>
      </c>
      <c r="I237">
        <v>0</v>
      </c>
      <c r="J237">
        <v>0</v>
      </c>
      <c r="K237">
        <v>0</v>
      </c>
      <c r="L237">
        <v>0</v>
      </c>
      <c r="M237" t="s">
        <v>101</v>
      </c>
      <c r="N237">
        <v>10083</v>
      </c>
      <c r="O237" t="s">
        <v>451</v>
      </c>
      <c r="P237" t="b">
        <v>1</v>
      </c>
      <c r="Q237">
        <v>10082.994958503781</v>
      </c>
      <c r="R237">
        <v>500</v>
      </c>
      <c r="S237">
        <v>11.082994958503781</v>
      </c>
      <c r="T237">
        <v>0</v>
      </c>
      <c r="U237">
        <v>0</v>
      </c>
      <c r="V237">
        <v>0</v>
      </c>
    </row>
    <row r="238" spans="1:22" x14ac:dyDescent="0.25">
      <c r="A238"/>
      <c r="B238">
        <v>11185</v>
      </c>
      <c r="C238" t="s">
        <v>285</v>
      </c>
      <c r="D238" t="s">
        <v>47</v>
      </c>
      <c r="E238" t="s">
        <v>436</v>
      </c>
      <c r="F238" t="s">
        <v>101</v>
      </c>
      <c r="G238">
        <v>10233</v>
      </c>
      <c r="H238" t="s">
        <v>451</v>
      </c>
      <c r="I238">
        <v>0</v>
      </c>
      <c r="J238">
        <v>0</v>
      </c>
      <c r="K238">
        <v>0</v>
      </c>
      <c r="L238">
        <v>0</v>
      </c>
      <c r="M238" t="s">
        <v>101</v>
      </c>
      <c r="N238">
        <v>10233</v>
      </c>
      <c r="O238" t="s">
        <v>451</v>
      </c>
      <c r="P238" t="b">
        <v>1</v>
      </c>
      <c r="Q238">
        <v>10232.994883503838</v>
      </c>
      <c r="R238">
        <v>500</v>
      </c>
      <c r="S238">
        <v>11.232994883503837</v>
      </c>
      <c r="T238">
        <v>0</v>
      </c>
      <c r="U238">
        <v>0</v>
      </c>
      <c r="V238">
        <v>0</v>
      </c>
    </row>
    <row r="239" spans="1:22" x14ac:dyDescent="0.25">
      <c r="A239"/>
      <c r="B239">
        <v>11186</v>
      </c>
      <c r="C239" t="s">
        <v>286</v>
      </c>
      <c r="D239" t="s">
        <v>47</v>
      </c>
      <c r="E239" t="s">
        <v>436</v>
      </c>
      <c r="F239" t="s">
        <v>101</v>
      </c>
      <c r="G239">
        <v>10383</v>
      </c>
      <c r="H239" t="s">
        <v>451</v>
      </c>
      <c r="I239">
        <v>0</v>
      </c>
      <c r="J239">
        <v>0</v>
      </c>
      <c r="K239">
        <v>0</v>
      </c>
      <c r="L239">
        <v>0</v>
      </c>
      <c r="M239" t="s">
        <v>101</v>
      </c>
      <c r="N239">
        <v>10383</v>
      </c>
      <c r="O239" t="s">
        <v>451</v>
      </c>
      <c r="P239" t="b">
        <v>1</v>
      </c>
      <c r="Q239">
        <v>10382.994808503894</v>
      </c>
      <c r="R239">
        <v>500</v>
      </c>
      <c r="S239">
        <v>11.382994808503893</v>
      </c>
      <c r="T239">
        <v>0</v>
      </c>
      <c r="U239">
        <v>0</v>
      </c>
      <c r="V239">
        <v>0</v>
      </c>
    </row>
    <row r="240" spans="1:22" x14ac:dyDescent="0.25">
      <c r="A240"/>
      <c r="B240">
        <v>11187</v>
      </c>
      <c r="C240" t="s">
        <v>287</v>
      </c>
      <c r="D240" t="s">
        <v>47</v>
      </c>
      <c r="E240" t="s">
        <v>436</v>
      </c>
      <c r="F240" t="s">
        <v>101</v>
      </c>
      <c r="G240">
        <v>10527</v>
      </c>
      <c r="H240" t="s">
        <v>451</v>
      </c>
      <c r="I240">
        <v>0</v>
      </c>
      <c r="J240">
        <v>0</v>
      </c>
      <c r="K240">
        <v>0</v>
      </c>
      <c r="L240">
        <v>0</v>
      </c>
      <c r="M240" t="s">
        <v>101</v>
      </c>
      <c r="N240">
        <v>10527</v>
      </c>
      <c r="O240" t="s">
        <v>451</v>
      </c>
      <c r="P240" t="b">
        <v>1</v>
      </c>
      <c r="Q240">
        <v>10526.994736503948</v>
      </c>
      <c r="R240">
        <v>500</v>
      </c>
      <c r="S240">
        <v>11.526994736503946</v>
      </c>
      <c r="T240">
        <v>0</v>
      </c>
      <c r="U240">
        <v>0</v>
      </c>
      <c r="V240">
        <v>0</v>
      </c>
    </row>
    <row r="241" spans="1:22" x14ac:dyDescent="0.25">
      <c r="A241"/>
      <c r="B241">
        <v>11188</v>
      </c>
      <c r="C241" t="s">
        <v>288</v>
      </c>
      <c r="D241" t="s">
        <v>47</v>
      </c>
      <c r="E241" t="s">
        <v>436</v>
      </c>
      <c r="F241" t="s">
        <v>101</v>
      </c>
      <c r="G241">
        <v>10647</v>
      </c>
      <c r="H241" t="s">
        <v>451</v>
      </c>
      <c r="I241">
        <v>0</v>
      </c>
      <c r="J241">
        <v>0</v>
      </c>
      <c r="K241">
        <v>0</v>
      </c>
      <c r="L241">
        <v>0</v>
      </c>
      <c r="M241" t="s">
        <v>101</v>
      </c>
      <c r="N241">
        <v>10647</v>
      </c>
      <c r="O241" t="s">
        <v>451</v>
      </c>
      <c r="P241" t="b">
        <v>1</v>
      </c>
      <c r="Q241">
        <v>10646.994676503993</v>
      </c>
      <c r="R241">
        <v>500</v>
      </c>
      <c r="S241">
        <v>11.646994676503992</v>
      </c>
      <c r="T241">
        <v>0</v>
      </c>
      <c r="U241">
        <v>0</v>
      </c>
      <c r="V241">
        <v>0</v>
      </c>
    </row>
    <row r="242" spans="1:22" x14ac:dyDescent="0.25">
      <c r="A242"/>
      <c r="B242">
        <v>11189</v>
      </c>
      <c r="C242" t="s">
        <v>289</v>
      </c>
      <c r="D242" t="s">
        <v>47</v>
      </c>
      <c r="E242" t="s">
        <v>436</v>
      </c>
      <c r="F242" t="s">
        <v>101</v>
      </c>
      <c r="G242">
        <v>10668</v>
      </c>
      <c r="H242" t="s">
        <v>451</v>
      </c>
      <c r="I242">
        <v>0</v>
      </c>
      <c r="J242">
        <v>0</v>
      </c>
      <c r="K242">
        <v>0</v>
      </c>
      <c r="L242">
        <v>0</v>
      </c>
      <c r="M242" t="s">
        <v>101</v>
      </c>
      <c r="N242">
        <v>10668</v>
      </c>
      <c r="O242" t="s">
        <v>451</v>
      </c>
      <c r="P242" t="b">
        <v>1</v>
      </c>
      <c r="Q242">
        <v>10667.994666004</v>
      </c>
      <c r="R242">
        <v>500</v>
      </c>
      <c r="S242">
        <v>11.667994666003999</v>
      </c>
      <c r="T242">
        <v>0</v>
      </c>
      <c r="U242">
        <v>0</v>
      </c>
      <c r="V242">
        <v>0</v>
      </c>
    </row>
    <row r="243" spans="1:22" x14ac:dyDescent="0.25">
      <c r="A243"/>
      <c r="B243">
        <v>11190</v>
      </c>
      <c r="C243" t="s">
        <v>290</v>
      </c>
      <c r="D243" t="s">
        <v>47</v>
      </c>
      <c r="E243" t="s">
        <v>436</v>
      </c>
      <c r="F243" t="s">
        <v>101</v>
      </c>
      <c r="G243">
        <v>10762.969999999899</v>
      </c>
      <c r="H243" t="s">
        <v>451</v>
      </c>
      <c r="I243">
        <v>0</v>
      </c>
      <c r="J243">
        <v>0</v>
      </c>
      <c r="K243">
        <v>0</v>
      </c>
      <c r="L243">
        <v>0</v>
      </c>
      <c r="M243" t="s">
        <v>101</v>
      </c>
      <c r="N243">
        <v>10762.969999999899</v>
      </c>
      <c r="O243" t="s">
        <v>451</v>
      </c>
      <c r="P243" t="b">
        <v>1</v>
      </c>
      <c r="Q243">
        <v>10762.964618518936</v>
      </c>
      <c r="R243">
        <v>500</v>
      </c>
      <c r="S243">
        <v>11.762964618518934</v>
      </c>
      <c r="T243">
        <v>0</v>
      </c>
      <c r="U243">
        <v>0</v>
      </c>
      <c r="V243">
        <v>0</v>
      </c>
    </row>
    <row r="244" spans="1:22" x14ac:dyDescent="0.25">
      <c r="A244"/>
      <c r="B244">
        <v>11191</v>
      </c>
      <c r="C244" t="s">
        <v>291</v>
      </c>
      <c r="D244" t="s">
        <v>47</v>
      </c>
      <c r="E244" t="s">
        <v>436</v>
      </c>
      <c r="F244" t="s">
        <v>101</v>
      </c>
      <c r="G244">
        <v>10777.8299999999</v>
      </c>
      <c r="H244" t="s">
        <v>451</v>
      </c>
      <c r="I244">
        <v>0</v>
      </c>
      <c r="J244">
        <v>0</v>
      </c>
      <c r="K244">
        <v>0</v>
      </c>
      <c r="L244">
        <v>0</v>
      </c>
      <c r="M244" t="s">
        <v>101</v>
      </c>
      <c r="N244">
        <v>10777.8299999999</v>
      </c>
      <c r="O244" t="s">
        <v>451</v>
      </c>
      <c r="P244" t="b">
        <v>1</v>
      </c>
      <c r="Q244">
        <v>10777.824611088941</v>
      </c>
      <c r="R244">
        <v>500</v>
      </c>
      <c r="S244">
        <v>11.77782461108894</v>
      </c>
      <c r="T244">
        <v>0</v>
      </c>
      <c r="U244">
        <v>0</v>
      </c>
      <c r="V244">
        <v>0</v>
      </c>
    </row>
    <row r="245" spans="1:22" x14ac:dyDescent="0.25">
      <c r="A245"/>
      <c r="B245">
        <v>11192</v>
      </c>
      <c r="C245" t="s">
        <v>292</v>
      </c>
      <c r="D245" t="s">
        <v>47</v>
      </c>
      <c r="E245" t="s">
        <v>436</v>
      </c>
      <c r="F245" t="s">
        <v>101</v>
      </c>
      <c r="G245">
        <v>10780.8299999999</v>
      </c>
      <c r="H245" t="s">
        <v>451</v>
      </c>
      <c r="I245">
        <v>0</v>
      </c>
      <c r="J245">
        <v>0</v>
      </c>
      <c r="K245">
        <v>0</v>
      </c>
      <c r="L245">
        <v>0</v>
      </c>
      <c r="M245" t="s">
        <v>101</v>
      </c>
      <c r="N245">
        <v>10780.8299999999</v>
      </c>
      <c r="O245" t="s">
        <v>451</v>
      </c>
      <c r="P245" t="b">
        <v>1</v>
      </c>
      <c r="Q245">
        <v>10780.824609588943</v>
      </c>
      <c r="R245">
        <v>500</v>
      </c>
      <c r="S245">
        <v>11.780824609588942</v>
      </c>
      <c r="T245">
        <v>0</v>
      </c>
      <c r="U245">
        <v>0</v>
      </c>
      <c r="V245">
        <v>0</v>
      </c>
    </row>
    <row r="246" spans="1:22" x14ac:dyDescent="0.25">
      <c r="A246"/>
      <c r="B246">
        <v>11193</v>
      </c>
      <c r="C246" t="s">
        <v>293</v>
      </c>
      <c r="D246" t="s">
        <v>47</v>
      </c>
      <c r="E246" t="s">
        <v>436</v>
      </c>
      <c r="F246" t="s">
        <v>101</v>
      </c>
      <c r="G246">
        <v>10800.7399999999</v>
      </c>
      <c r="H246" t="s">
        <v>451</v>
      </c>
      <c r="I246">
        <v>0</v>
      </c>
      <c r="J246">
        <v>0</v>
      </c>
      <c r="K246">
        <v>0</v>
      </c>
      <c r="L246">
        <v>0</v>
      </c>
      <c r="M246" t="s">
        <v>101</v>
      </c>
      <c r="N246">
        <v>10800.7399999999</v>
      </c>
      <c r="O246" t="s">
        <v>451</v>
      </c>
      <c r="P246" t="b">
        <v>1</v>
      </c>
      <c r="Q246">
        <v>10800.73459963395</v>
      </c>
      <c r="R246">
        <v>500</v>
      </c>
      <c r="S246">
        <v>11.80073459963395</v>
      </c>
      <c r="T246">
        <v>0</v>
      </c>
      <c r="U246">
        <v>0</v>
      </c>
      <c r="V246">
        <v>0</v>
      </c>
    </row>
    <row r="247" spans="1:22" x14ac:dyDescent="0.25">
      <c r="A247"/>
      <c r="B247">
        <v>11194</v>
      </c>
      <c r="C247" t="s">
        <v>294</v>
      </c>
      <c r="D247" t="s">
        <v>47</v>
      </c>
      <c r="E247" t="s">
        <v>436</v>
      </c>
      <c r="F247" t="s">
        <v>101</v>
      </c>
      <c r="G247">
        <v>10803.7399999999</v>
      </c>
      <c r="H247" t="s">
        <v>451</v>
      </c>
      <c r="I247">
        <v>0</v>
      </c>
      <c r="J247">
        <v>0</v>
      </c>
      <c r="K247">
        <v>0</v>
      </c>
      <c r="L247">
        <v>0</v>
      </c>
      <c r="M247" t="s">
        <v>101</v>
      </c>
      <c r="N247">
        <v>10803.7399999999</v>
      </c>
      <c r="O247" t="s">
        <v>451</v>
      </c>
      <c r="P247" t="b">
        <v>1</v>
      </c>
      <c r="Q247">
        <v>10803.734598133951</v>
      </c>
      <c r="R247">
        <v>500</v>
      </c>
      <c r="S247">
        <v>11.80373459813395</v>
      </c>
      <c r="T247">
        <v>0</v>
      </c>
      <c r="U247">
        <v>0</v>
      </c>
      <c r="V247">
        <v>0</v>
      </c>
    </row>
    <row r="248" spans="1:22" x14ac:dyDescent="0.25">
      <c r="A248"/>
      <c r="B248">
        <v>11195</v>
      </c>
      <c r="C248" t="s">
        <v>295</v>
      </c>
      <c r="D248" t="s">
        <v>47</v>
      </c>
      <c r="E248" t="s">
        <v>436</v>
      </c>
      <c r="F248" t="s">
        <v>101</v>
      </c>
      <c r="G248">
        <v>10861.77</v>
      </c>
      <c r="H248" t="s">
        <v>451</v>
      </c>
      <c r="I248">
        <v>0</v>
      </c>
      <c r="J248">
        <v>0</v>
      </c>
      <c r="K248">
        <v>0</v>
      </c>
      <c r="L248">
        <v>0</v>
      </c>
      <c r="M248" t="s">
        <v>101</v>
      </c>
      <c r="N248">
        <v>10861.77</v>
      </c>
      <c r="O248" t="s">
        <v>451</v>
      </c>
      <c r="P248" t="b">
        <v>1</v>
      </c>
      <c r="Q248">
        <v>10861.764569119074</v>
      </c>
      <c r="R248">
        <v>500</v>
      </c>
      <c r="S248">
        <v>11.861764569119073</v>
      </c>
      <c r="T248">
        <v>0</v>
      </c>
      <c r="U248">
        <v>0</v>
      </c>
      <c r="V248">
        <v>0</v>
      </c>
    </row>
    <row r="249" spans="1:22" x14ac:dyDescent="0.25">
      <c r="A249"/>
      <c r="B249">
        <v>11196</v>
      </c>
      <c r="C249" t="s">
        <v>296</v>
      </c>
      <c r="D249" t="s">
        <v>47</v>
      </c>
      <c r="E249" t="s">
        <v>436</v>
      </c>
      <c r="F249" t="s">
        <v>101</v>
      </c>
      <c r="G249">
        <v>10896.86</v>
      </c>
      <c r="H249" t="s">
        <v>451</v>
      </c>
      <c r="I249">
        <v>0</v>
      </c>
      <c r="J249">
        <v>0</v>
      </c>
      <c r="K249">
        <v>0</v>
      </c>
      <c r="L249">
        <v>0</v>
      </c>
      <c r="M249" t="s">
        <v>101</v>
      </c>
      <c r="N249">
        <v>10896.86</v>
      </c>
      <c r="O249" t="s">
        <v>451</v>
      </c>
      <c r="P249" t="b">
        <v>1</v>
      </c>
      <c r="Q249">
        <v>10896.854551574086</v>
      </c>
      <c r="R249">
        <v>500</v>
      </c>
      <c r="S249">
        <v>11.896854551574085</v>
      </c>
      <c r="T249">
        <v>0</v>
      </c>
      <c r="U249">
        <v>0</v>
      </c>
      <c r="V249">
        <v>0</v>
      </c>
    </row>
    <row r="250" spans="1:22" x14ac:dyDescent="0.25">
      <c r="A250"/>
      <c r="B250">
        <v>11197</v>
      </c>
      <c r="C250" t="s">
        <v>297</v>
      </c>
      <c r="D250" t="s">
        <v>47</v>
      </c>
      <c r="E250" t="s">
        <v>436</v>
      </c>
      <c r="F250" t="s">
        <v>101</v>
      </c>
      <c r="G250">
        <v>10899.86</v>
      </c>
      <c r="H250" t="s">
        <v>451</v>
      </c>
      <c r="I250">
        <v>0</v>
      </c>
      <c r="J250">
        <v>0</v>
      </c>
      <c r="K250">
        <v>0</v>
      </c>
      <c r="L250">
        <v>0</v>
      </c>
      <c r="M250" t="s">
        <v>101</v>
      </c>
      <c r="N250">
        <v>10899.86</v>
      </c>
      <c r="O250" t="s">
        <v>451</v>
      </c>
      <c r="P250" t="b">
        <v>1</v>
      </c>
      <c r="Q250">
        <v>10899.854550074087</v>
      </c>
      <c r="R250">
        <v>500</v>
      </c>
      <c r="S250">
        <v>11.899854550074087</v>
      </c>
      <c r="T250">
        <v>0</v>
      </c>
      <c r="U250">
        <v>0</v>
      </c>
      <c r="V250">
        <v>0</v>
      </c>
    </row>
    <row r="251" spans="1:22" x14ac:dyDescent="0.25">
      <c r="A251"/>
      <c r="B251">
        <v>11198</v>
      </c>
      <c r="C251" t="s">
        <v>298</v>
      </c>
      <c r="D251" t="s">
        <v>47</v>
      </c>
      <c r="E251" t="s">
        <v>436</v>
      </c>
      <c r="F251" t="s">
        <v>101</v>
      </c>
      <c r="G251">
        <v>10919.79</v>
      </c>
      <c r="H251" t="s">
        <v>451</v>
      </c>
      <c r="I251">
        <v>0</v>
      </c>
      <c r="J251">
        <v>0</v>
      </c>
      <c r="K251">
        <v>0</v>
      </c>
      <c r="L251">
        <v>0</v>
      </c>
      <c r="M251" t="s">
        <v>101</v>
      </c>
      <c r="N251">
        <v>10919.79</v>
      </c>
      <c r="O251" t="s">
        <v>451</v>
      </c>
      <c r="P251" t="b">
        <v>1</v>
      </c>
      <c r="Q251">
        <v>10919.784540109096</v>
      </c>
      <c r="R251">
        <v>500</v>
      </c>
      <c r="S251">
        <v>11.919784540109095</v>
      </c>
      <c r="T251">
        <v>0</v>
      </c>
      <c r="U251">
        <v>0</v>
      </c>
      <c r="V251">
        <v>0</v>
      </c>
    </row>
    <row r="252" spans="1:22" x14ac:dyDescent="0.25">
      <c r="A252"/>
      <c r="B252">
        <v>11199</v>
      </c>
      <c r="C252" t="s">
        <v>299</v>
      </c>
      <c r="D252" t="s">
        <v>47</v>
      </c>
      <c r="E252" t="s">
        <v>436</v>
      </c>
      <c r="F252" t="s">
        <v>101</v>
      </c>
      <c r="G252">
        <v>10922.79</v>
      </c>
      <c r="H252" t="s">
        <v>451</v>
      </c>
      <c r="I252">
        <v>0</v>
      </c>
      <c r="J252">
        <v>0</v>
      </c>
      <c r="K252">
        <v>0</v>
      </c>
      <c r="L252">
        <v>0</v>
      </c>
      <c r="M252" t="s">
        <v>101</v>
      </c>
      <c r="N252">
        <v>10922.79</v>
      </c>
      <c r="O252" t="s">
        <v>451</v>
      </c>
      <c r="P252" t="b">
        <v>1</v>
      </c>
      <c r="Q252">
        <v>10922.784538609096</v>
      </c>
      <c r="R252">
        <v>500</v>
      </c>
      <c r="S252">
        <v>11.922784538609097</v>
      </c>
      <c r="T252">
        <v>0</v>
      </c>
      <c r="U252">
        <v>0</v>
      </c>
      <c r="V252">
        <v>0</v>
      </c>
    </row>
    <row r="253" spans="1:22" x14ac:dyDescent="0.25">
      <c r="A253"/>
      <c r="B253">
        <v>11200</v>
      </c>
      <c r="C253" t="s">
        <v>300</v>
      </c>
      <c r="D253" t="s">
        <v>47</v>
      </c>
      <c r="E253" t="s">
        <v>436</v>
      </c>
      <c r="F253" t="s">
        <v>101</v>
      </c>
      <c r="G253">
        <v>10975.209999999901</v>
      </c>
      <c r="H253" t="s">
        <v>451</v>
      </c>
      <c r="I253">
        <v>0</v>
      </c>
      <c r="J253">
        <v>0</v>
      </c>
      <c r="K253">
        <v>0</v>
      </c>
      <c r="L253">
        <v>0</v>
      </c>
      <c r="M253" t="s">
        <v>101</v>
      </c>
      <c r="N253">
        <v>10975.209999999901</v>
      </c>
      <c r="O253" t="s">
        <v>451</v>
      </c>
      <c r="P253" t="b">
        <v>1</v>
      </c>
      <c r="Q253">
        <v>10975.204512399016</v>
      </c>
      <c r="R253">
        <v>500</v>
      </c>
      <c r="S253">
        <v>11.975204512399015</v>
      </c>
      <c r="T253">
        <v>0</v>
      </c>
      <c r="U253">
        <v>0</v>
      </c>
      <c r="V253">
        <v>0</v>
      </c>
    </row>
    <row r="254" spans="1:22" x14ac:dyDescent="0.25">
      <c r="A254"/>
      <c r="B254">
        <v>11201</v>
      </c>
      <c r="C254" t="s">
        <v>301</v>
      </c>
      <c r="D254" t="s">
        <v>47</v>
      </c>
      <c r="E254" t="s">
        <v>436</v>
      </c>
      <c r="F254" t="s">
        <v>101</v>
      </c>
      <c r="G254">
        <v>11056</v>
      </c>
      <c r="H254" t="s">
        <v>451</v>
      </c>
      <c r="I254">
        <v>0</v>
      </c>
      <c r="J254">
        <v>0</v>
      </c>
      <c r="K254">
        <v>0</v>
      </c>
      <c r="L254">
        <v>0</v>
      </c>
      <c r="M254" t="s">
        <v>101</v>
      </c>
      <c r="N254">
        <v>11056</v>
      </c>
      <c r="O254" t="s">
        <v>451</v>
      </c>
      <c r="P254" t="b">
        <v>1</v>
      </c>
      <c r="Q254">
        <v>11055.994472004146</v>
      </c>
      <c r="R254">
        <v>500</v>
      </c>
      <c r="S254">
        <v>12.055994472004144</v>
      </c>
      <c r="T254">
        <v>0</v>
      </c>
      <c r="U254">
        <v>0</v>
      </c>
      <c r="V254">
        <v>0</v>
      </c>
    </row>
    <row r="255" spans="1:22" x14ac:dyDescent="0.25">
      <c r="A255"/>
      <c r="B255">
        <v>11202</v>
      </c>
      <c r="C255" t="s">
        <v>302</v>
      </c>
      <c r="D255" t="s">
        <v>47</v>
      </c>
      <c r="E255" t="s">
        <v>436</v>
      </c>
      <c r="F255" t="s">
        <v>101</v>
      </c>
      <c r="G255">
        <v>11077</v>
      </c>
      <c r="H255" t="s">
        <v>451</v>
      </c>
      <c r="I255">
        <v>0</v>
      </c>
      <c r="J255">
        <v>0</v>
      </c>
      <c r="K255">
        <v>0</v>
      </c>
      <c r="L255">
        <v>0</v>
      </c>
      <c r="M255" t="s">
        <v>101</v>
      </c>
      <c r="N255">
        <v>11077</v>
      </c>
      <c r="O255" t="s">
        <v>451</v>
      </c>
      <c r="P255" t="b">
        <v>1</v>
      </c>
      <c r="Q255">
        <v>11076.994461504153</v>
      </c>
      <c r="R255">
        <v>500</v>
      </c>
      <c r="S255">
        <v>12.076994461504153</v>
      </c>
      <c r="T255">
        <v>0</v>
      </c>
      <c r="U255">
        <v>0</v>
      </c>
      <c r="V255">
        <v>0</v>
      </c>
    </row>
    <row r="256" spans="1:22" x14ac:dyDescent="0.25">
      <c r="A256"/>
      <c r="B256">
        <v>11203</v>
      </c>
      <c r="C256" t="s">
        <v>303</v>
      </c>
      <c r="D256" t="s">
        <v>47</v>
      </c>
      <c r="E256" t="s">
        <v>436</v>
      </c>
      <c r="F256" t="s">
        <v>101</v>
      </c>
      <c r="G256">
        <v>11197</v>
      </c>
      <c r="H256" t="s">
        <v>451</v>
      </c>
      <c r="I256">
        <v>0</v>
      </c>
      <c r="J256">
        <v>0</v>
      </c>
      <c r="K256">
        <v>0</v>
      </c>
      <c r="L256">
        <v>0</v>
      </c>
      <c r="M256" t="s">
        <v>101</v>
      </c>
      <c r="N256">
        <v>11197</v>
      </c>
      <c r="O256" t="s">
        <v>451</v>
      </c>
      <c r="P256" t="b">
        <v>1</v>
      </c>
      <c r="Q256">
        <v>11196.994401504198</v>
      </c>
      <c r="R256">
        <v>500</v>
      </c>
      <c r="S256">
        <v>12.196994401504199</v>
      </c>
      <c r="T256">
        <v>0</v>
      </c>
      <c r="U256">
        <v>0</v>
      </c>
      <c r="V256">
        <v>0</v>
      </c>
    </row>
    <row r="257" spans="1:22" x14ac:dyDescent="0.25">
      <c r="A257"/>
      <c r="B257">
        <v>11204</v>
      </c>
      <c r="C257" t="s">
        <v>304</v>
      </c>
      <c r="D257" t="s">
        <v>47</v>
      </c>
      <c r="E257" t="s">
        <v>436</v>
      </c>
      <c r="F257" t="s">
        <v>101</v>
      </c>
      <c r="G257">
        <v>11397</v>
      </c>
      <c r="H257" t="s">
        <v>451</v>
      </c>
      <c r="I257">
        <v>0</v>
      </c>
      <c r="J257">
        <v>0</v>
      </c>
      <c r="K257">
        <v>0</v>
      </c>
      <c r="L257">
        <v>0</v>
      </c>
      <c r="M257" t="s">
        <v>101</v>
      </c>
      <c r="N257">
        <v>11397</v>
      </c>
      <c r="O257" t="s">
        <v>451</v>
      </c>
      <c r="P257" t="b">
        <v>1</v>
      </c>
      <c r="Q257">
        <v>11396.994301504274</v>
      </c>
      <c r="R257">
        <v>500</v>
      </c>
      <c r="S257">
        <v>12.396994301504273</v>
      </c>
      <c r="T257">
        <v>0</v>
      </c>
      <c r="U257">
        <v>0</v>
      </c>
      <c r="V257">
        <v>0</v>
      </c>
    </row>
    <row r="258" spans="1:22" x14ac:dyDescent="0.25">
      <c r="A258"/>
      <c r="B258">
        <v>11205</v>
      </c>
      <c r="C258" t="s">
        <v>305</v>
      </c>
      <c r="D258" t="s">
        <v>47</v>
      </c>
      <c r="E258" t="s">
        <v>436</v>
      </c>
      <c r="F258" t="s">
        <v>101</v>
      </c>
      <c r="G258">
        <v>11597</v>
      </c>
      <c r="H258" t="s">
        <v>451</v>
      </c>
      <c r="I258">
        <v>0</v>
      </c>
      <c r="J258">
        <v>0</v>
      </c>
      <c r="K258">
        <v>0</v>
      </c>
      <c r="L258">
        <v>0</v>
      </c>
      <c r="M258" t="s">
        <v>101</v>
      </c>
      <c r="N258">
        <v>11597</v>
      </c>
      <c r="O258" t="s">
        <v>451</v>
      </c>
      <c r="P258" t="b">
        <v>1</v>
      </c>
      <c r="Q258">
        <v>11596.994201504349</v>
      </c>
      <c r="R258">
        <v>500</v>
      </c>
      <c r="S258">
        <v>12.596994201504348</v>
      </c>
      <c r="T258">
        <v>0</v>
      </c>
      <c r="U258">
        <v>0</v>
      </c>
      <c r="V258">
        <v>0</v>
      </c>
    </row>
    <row r="259" spans="1:22" x14ac:dyDescent="0.25">
      <c r="A259"/>
      <c r="B259">
        <v>11206</v>
      </c>
      <c r="C259" t="s">
        <v>306</v>
      </c>
      <c r="D259" t="s">
        <v>47</v>
      </c>
      <c r="E259" t="s">
        <v>436</v>
      </c>
      <c r="F259" t="s">
        <v>101</v>
      </c>
      <c r="G259">
        <v>11797</v>
      </c>
      <c r="H259" t="s">
        <v>451</v>
      </c>
      <c r="I259">
        <v>0</v>
      </c>
      <c r="J259">
        <v>0</v>
      </c>
      <c r="K259">
        <v>0</v>
      </c>
      <c r="L259">
        <v>0</v>
      </c>
      <c r="M259" t="s">
        <v>101</v>
      </c>
      <c r="N259">
        <v>11797</v>
      </c>
      <c r="O259" t="s">
        <v>451</v>
      </c>
      <c r="P259" t="b">
        <v>1</v>
      </c>
      <c r="Q259">
        <v>11796.994101504424</v>
      </c>
      <c r="R259">
        <v>500</v>
      </c>
      <c r="S259">
        <v>12.796994101504422</v>
      </c>
      <c r="T259">
        <v>0</v>
      </c>
      <c r="U259">
        <v>0</v>
      </c>
      <c r="V259">
        <v>0</v>
      </c>
    </row>
    <row r="260" spans="1:22" x14ac:dyDescent="0.25">
      <c r="A260"/>
      <c r="B260">
        <v>11207</v>
      </c>
      <c r="C260" t="s">
        <v>307</v>
      </c>
      <c r="D260" t="s">
        <v>47</v>
      </c>
      <c r="E260" t="s">
        <v>436</v>
      </c>
      <c r="F260" t="s">
        <v>101</v>
      </c>
      <c r="G260">
        <v>11918</v>
      </c>
      <c r="H260" t="s">
        <v>451</v>
      </c>
      <c r="I260">
        <v>0</v>
      </c>
      <c r="J260">
        <v>0</v>
      </c>
      <c r="K260">
        <v>0</v>
      </c>
      <c r="L260">
        <v>0</v>
      </c>
      <c r="M260" t="s">
        <v>101</v>
      </c>
      <c r="N260">
        <v>11918</v>
      </c>
      <c r="O260" t="s">
        <v>451</v>
      </c>
      <c r="P260" t="b">
        <v>1</v>
      </c>
      <c r="Q260">
        <v>11917.994041004469</v>
      </c>
      <c r="R260">
        <v>500</v>
      </c>
      <c r="S260">
        <v>12.917994041004468</v>
      </c>
      <c r="T260">
        <v>0</v>
      </c>
      <c r="U260">
        <v>0</v>
      </c>
      <c r="V260">
        <v>0</v>
      </c>
    </row>
    <row r="261" spans="1:22" x14ac:dyDescent="0.25">
      <c r="A261"/>
      <c r="B261">
        <v>11208</v>
      </c>
      <c r="C261" t="s">
        <v>308</v>
      </c>
      <c r="D261" t="s">
        <v>47</v>
      </c>
      <c r="E261" t="s">
        <v>436</v>
      </c>
      <c r="F261" t="s">
        <v>101</v>
      </c>
      <c r="G261">
        <v>12038</v>
      </c>
      <c r="H261" t="s">
        <v>451</v>
      </c>
      <c r="I261">
        <v>0</v>
      </c>
      <c r="J261">
        <v>0</v>
      </c>
      <c r="K261">
        <v>0</v>
      </c>
      <c r="L261">
        <v>0</v>
      </c>
      <c r="M261" t="s">
        <v>101</v>
      </c>
      <c r="N261">
        <v>12038</v>
      </c>
      <c r="O261" t="s">
        <v>451</v>
      </c>
      <c r="P261" t="b">
        <v>1</v>
      </c>
      <c r="Q261">
        <v>12037.993981004514</v>
      </c>
      <c r="R261">
        <v>500</v>
      </c>
      <c r="S261">
        <v>13.037993981004513</v>
      </c>
      <c r="T261">
        <v>0</v>
      </c>
      <c r="U261">
        <v>0</v>
      </c>
      <c r="V261">
        <v>0</v>
      </c>
    </row>
    <row r="262" spans="1:22" x14ac:dyDescent="0.25">
      <c r="A262"/>
      <c r="B262">
        <v>11209</v>
      </c>
      <c r="C262" t="s">
        <v>309</v>
      </c>
      <c r="D262" t="s">
        <v>47</v>
      </c>
      <c r="E262" t="s">
        <v>436</v>
      </c>
      <c r="F262" t="s">
        <v>101</v>
      </c>
      <c r="G262">
        <v>12059</v>
      </c>
      <c r="H262" t="s">
        <v>451</v>
      </c>
      <c r="I262">
        <v>0</v>
      </c>
      <c r="J262">
        <v>0</v>
      </c>
      <c r="K262">
        <v>0</v>
      </c>
      <c r="L262">
        <v>0</v>
      </c>
      <c r="M262" t="s">
        <v>101</v>
      </c>
      <c r="N262">
        <v>12059</v>
      </c>
      <c r="O262" t="s">
        <v>451</v>
      </c>
      <c r="P262" t="b">
        <v>1</v>
      </c>
      <c r="Q262">
        <v>12058.993970504522</v>
      </c>
      <c r="R262">
        <v>500</v>
      </c>
      <c r="S262">
        <v>13.05899397050452</v>
      </c>
      <c r="T262">
        <v>0</v>
      </c>
      <c r="U262">
        <v>0</v>
      </c>
      <c r="V262">
        <v>0</v>
      </c>
    </row>
    <row r="263" spans="1:22" x14ac:dyDescent="0.25">
      <c r="A263"/>
      <c r="B263">
        <v>11210</v>
      </c>
      <c r="C263" t="s">
        <v>310</v>
      </c>
      <c r="D263" t="s">
        <v>47</v>
      </c>
      <c r="E263" t="s">
        <v>436</v>
      </c>
      <c r="F263" t="s">
        <v>101</v>
      </c>
      <c r="G263">
        <v>12155.34</v>
      </c>
      <c r="H263" t="s">
        <v>451</v>
      </c>
      <c r="I263">
        <v>0</v>
      </c>
      <c r="J263">
        <v>0</v>
      </c>
      <c r="K263">
        <v>0</v>
      </c>
      <c r="L263">
        <v>0</v>
      </c>
      <c r="M263" t="s">
        <v>101</v>
      </c>
      <c r="N263">
        <v>12155.34</v>
      </c>
      <c r="O263" t="s">
        <v>451</v>
      </c>
      <c r="P263" t="b">
        <v>1</v>
      </c>
      <c r="Q263">
        <v>12155.333922334557</v>
      </c>
      <c r="R263">
        <v>500</v>
      </c>
      <c r="S263">
        <v>13.155333922334558</v>
      </c>
      <c r="T263">
        <v>0</v>
      </c>
      <c r="U263">
        <v>0</v>
      </c>
      <c r="V263">
        <v>0</v>
      </c>
    </row>
    <row r="264" spans="1:22" x14ac:dyDescent="0.25">
      <c r="A264"/>
      <c r="B264">
        <v>11211</v>
      </c>
      <c r="C264" t="s">
        <v>311</v>
      </c>
      <c r="D264" t="s">
        <v>47</v>
      </c>
      <c r="E264" t="s">
        <v>436</v>
      </c>
      <c r="F264" t="s">
        <v>101</v>
      </c>
      <c r="G264">
        <v>12170.2</v>
      </c>
      <c r="H264" t="s">
        <v>451</v>
      </c>
      <c r="I264">
        <v>0</v>
      </c>
      <c r="J264">
        <v>0</v>
      </c>
      <c r="K264">
        <v>0</v>
      </c>
      <c r="L264">
        <v>0</v>
      </c>
      <c r="M264" t="s">
        <v>101</v>
      </c>
      <c r="N264">
        <v>12170.2</v>
      </c>
      <c r="O264" t="s">
        <v>451</v>
      </c>
      <c r="P264" t="b">
        <v>1</v>
      </c>
      <c r="Q264">
        <v>12170.193914904565</v>
      </c>
      <c r="R264">
        <v>500</v>
      </c>
      <c r="S264">
        <v>13.170193914904564</v>
      </c>
      <c r="T264">
        <v>0</v>
      </c>
      <c r="U264">
        <v>0</v>
      </c>
      <c r="V264">
        <v>0</v>
      </c>
    </row>
    <row r="265" spans="1:22" x14ac:dyDescent="0.25">
      <c r="A265"/>
      <c r="B265">
        <v>11212</v>
      </c>
      <c r="C265" t="s">
        <v>312</v>
      </c>
      <c r="D265" t="s">
        <v>47</v>
      </c>
      <c r="E265" t="s">
        <v>436</v>
      </c>
      <c r="F265" t="s">
        <v>101</v>
      </c>
      <c r="G265">
        <v>12173.2</v>
      </c>
      <c r="H265" t="s">
        <v>451</v>
      </c>
      <c r="I265">
        <v>0</v>
      </c>
      <c r="J265">
        <v>0</v>
      </c>
      <c r="K265">
        <v>0</v>
      </c>
      <c r="L265">
        <v>0</v>
      </c>
      <c r="M265" t="s">
        <v>101</v>
      </c>
      <c r="N265">
        <v>12173.2</v>
      </c>
      <c r="O265" t="s">
        <v>451</v>
      </c>
      <c r="P265" t="b">
        <v>1</v>
      </c>
      <c r="Q265">
        <v>12173.193913404564</v>
      </c>
      <c r="R265">
        <v>500</v>
      </c>
      <c r="S265">
        <v>13.173193913404564</v>
      </c>
      <c r="T265">
        <v>0</v>
      </c>
      <c r="U265">
        <v>0</v>
      </c>
      <c r="V265">
        <v>0</v>
      </c>
    </row>
    <row r="266" spans="1:22" x14ac:dyDescent="0.25">
      <c r="A266"/>
      <c r="B266">
        <v>11213</v>
      </c>
      <c r="C266" t="s">
        <v>313</v>
      </c>
      <c r="D266" t="s">
        <v>47</v>
      </c>
      <c r="E266" t="s">
        <v>436</v>
      </c>
      <c r="F266" t="s">
        <v>101</v>
      </c>
      <c r="G266">
        <v>12193.12</v>
      </c>
      <c r="H266" t="s">
        <v>451</v>
      </c>
      <c r="I266">
        <v>0</v>
      </c>
      <c r="J266">
        <v>0</v>
      </c>
      <c r="K266">
        <v>0</v>
      </c>
      <c r="L266">
        <v>0</v>
      </c>
      <c r="M266" t="s">
        <v>101</v>
      </c>
      <c r="N266">
        <v>12193.12</v>
      </c>
      <c r="O266" t="s">
        <v>451</v>
      </c>
      <c r="P266" t="b">
        <v>1</v>
      </c>
      <c r="Q266">
        <v>12193.113903444573</v>
      </c>
      <c r="R266">
        <v>500</v>
      </c>
      <c r="S266">
        <v>13.193113903444573</v>
      </c>
      <c r="T266">
        <v>0</v>
      </c>
      <c r="U266">
        <v>0</v>
      </c>
      <c r="V266">
        <v>0</v>
      </c>
    </row>
    <row r="267" spans="1:22" x14ac:dyDescent="0.25">
      <c r="A267"/>
      <c r="B267">
        <v>11214</v>
      </c>
      <c r="C267" t="s">
        <v>314</v>
      </c>
      <c r="D267" t="s">
        <v>47</v>
      </c>
      <c r="E267" t="s">
        <v>436</v>
      </c>
      <c r="F267" t="s">
        <v>101</v>
      </c>
      <c r="G267">
        <v>12196.12</v>
      </c>
      <c r="H267" t="s">
        <v>451</v>
      </c>
      <c r="I267">
        <v>0</v>
      </c>
      <c r="J267">
        <v>0</v>
      </c>
      <c r="K267">
        <v>0</v>
      </c>
      <c r="L267">
        <v>0</v>
      </c>
      <c r="M267" t="s">
        <v>101</v>
      </c>
      <c r="N267">
        <v>12196.12</v>
      </c>
      <c r="O267" t="s">
        <v>451</v>
      </c>
      <c r="P267" t="b">
        <v>1</v>
      </c>
      <c r="Q267">
        <v>12196.113901944575</v>
      </c>
      <c r="R267">
        <v>500</v>
      </c>
      <c r="S267">
        <v>13.196113901944573</v>
      </c>
      <c r="T267">
        <v>0</v>
      </c>
      <c r="U267">
        <v>0</v>
      </c>
      <c r="V267">
        <v>0</v>
      </c>
    </row>
    <row r="268" spans="1:22" x14ac:dyDescent="0.25">
      <c r="A268"/>
      <c r="B268">
        <v>11215</v>
      </c>
      <c r="C268" t="s">
        <v>315</v>
      </c>
      <c r="D268" t="s">
        <v>47</v>
      </c>
      <c r="E268" t="s">
        <v>436</v>
      </c>
      <c r="F268" t="s">
        <v>101</v>
      </c>
      <c r="G268">
        <v>12254.139999999899</v>
      </c>
      <c r="H268" t="s">
        <v>451</v>
      </c>
      <c r="I268">
        <v>0</v>
      </c>
      <c r="J268">
        <v>0</v>
      </c>
      <c r="K268">
        <v>0</v>
      </c>
      <c r="L268">
        <v>0</v>
      </c>
      <c r="M268" t="s">
        <v>101</v>
      </c>
      <c r="N268">
        <v>12254.139999999899</v>
      </c>
      <c r="O268" t="s">
        <v>451</v>
      </c>
      <c r="P268" t="b">
        <v>1</v>
      </c>
      <c r="Q268">
        <v>12254.133872934493</v>
      </c>
      <c r="R268">
        <v>500</v>
      </c>
      <c r="S268">
        <v>13.254133872934494</v>
      </c>
      <c r="T268">
        <v>0</v>
      </c>
      <c r="U268">
        <v>0</v>
      </c>
      <c r="V268">
        <v>0</v>
      </c>
    </row>
    <row r="269" spans="1:22" x14ac:dyDescent="0.25">
      <c r="A269"/>
      <c r="B269">
        <v>11216</v>
      </c>
      <c r="C269" t="s">
        <v>316</v>
      </c>
      <c r="D269" t="s">
        <v>47</v>
      </c>
      <c r="E269" t="s">
        <v>436</v>
      </c>
      <c r="F269" t="s">
        <v>101</v>
      </c>
      <c r="G269">
        <v>12289.2399999999</v>
      </c>
      <c r="H269" t="s">
        <v>451</v>
      </c>
      <c r="I269">
        <v>0</v>
      </c>
      <c r="J269">
        <v>0</v>
      </c>
      <c r="K269">
        <v>0</v>
      </c>
      <c r="L269">
        <v>0</v>
      </c>
      <c r="M269" t="s">
        <v>101</v>
      </c>
      <c r="N269">
        <v>12289.2399999999</v>
      </c>
      <c r="O269" t="s">
        <v>451</v>
      </c>
      <c r="P269" t="b">
        <v>1</v>
      </c>
      <c r="Q269">
        <v>12289.233855384507</v>
      </c>
      <c r="R269">
        <v>500</v>
      </c>
      <c r="S269">
        <v>13.289233855384508</v>
      </c>
      <c r="T269">
        <v>0</v>
      </c>
      <c r="U269">
        <v>0</v>
      </c>
      <c r="V269">
        <v>0</v>
      </c>
    </row>
    <row r="270" spans="1:22" x14ac:dyDescent="0.25">
      <c r="A270"/>
      <c r="B270">
        <v>11217</v>
      </c>
      <c r="C270" t="s">
        <v>317</v>
      </c>
      <c r="D270" t="s">
        <v>47</v>
      </c>
      <c r="E270" t="s">
        <v>436</v>
      </c>
      <c r="F270" t="s">
        <v>101</v>
      </c>
      <c r="G270">
        <v>12292.2399999999</v>
      </c>
      <c r="H270" t="s">
        <v>451</v>
      </c>
      <c r="I270">
        <v>0</v>
      </c>
      <c r="J270">
        <v>0</v>
      </c>
      <c r="K270">
        <v>0</v>
      </c>
      <c r="L270">
        <v>0</v>
      </c>
      <c r="M270" t="s">
        <v>101</v>
      </c>
      <c r="N270">
        <v>12292.2399999999</v>
      </c>
      <c r="O270" t="s">
        <v>451</v>
      </c>
      <c r="P270" t="b">
        <v>1</v>
      </c>
      <c r="Q270">
        <v>12292.233853884509</v>
      </c>
      <c r="R270">
        <v>500</v>
      </c>
      <c r="S270">
        <v>13.292233853884508</v>
      </c>
      <c r="T270">
        <v>0</v>
      </c>
      <c r="U270">
        <v>0</v>
      </c>
      <c r="V270">
        <v>0</v>
      </c>
    </row>
    <row r="271" spans="1:22" x14ac:dyDescent="0.25">
      <c r="A271"/>
      <c r="B271">
        <v>11218</v>
      </c>
      <c r="C271" t="s">
        <v>318</v>
      </c>
      <c r="D271" t="s">
        <v>47</v>
      </c>
      <c r="E271" t="s">
        <v>436</v>
      </c>
      <c r="F271" t="s">
        <v>101</v>
      </c>
      <c r="G271">
        <v>12312.1599999999</v>
      </c>
      <c r="H271" t="s">
        <v>451</v>
      </c>
      <c r="I271">
        <v>0</v>
      </c>
      <c r="J271">
        <v>0</v>
      </c>
      <c r="K271">
        <v>0</v>
      </c>
      <c r="L271">
        <v>0</v>
      </c>
      <c r="M271" t="s">
        <v>101</v>
      </c>
      <c r="N271">
        <v>12312.1599999999</v>
      </c>
      <c r="O271" t="s">
        <v>451</v>
      </c>
      <c r="P271" t="b">
        <v>1</v>
      </c>
      <c r="Q271">
        <v>12312.153843924516</v>
      </c>
      <c r="R271">
        <v>500</v>
      </c>
      <c r="S271">
        <v>13.312153843924516</v>
      </c>
      <c r="T271">
        <v>0</v>
      </c>
      <c r="U271">
        <v>0</v>
      </c>
      <c r="V271">
        <v>0</v>
      </c>
    </row>
    <row r="272" spans="1:22" x14ac:dyDescent="0.25">
      <c r="A272"/>
      <c r="B272">
        <v>11219</v>
      </c>
      <c r="C272" t="s">
        <v>319</v>
      </c>
      <c r="D272" t="s">
        <v>47</v>
      </c>
      <c r="E272" t="s">
        <v>436</v>
      </c>
      <c r="F272" t="s">
        <v>101</v>
      </c>
      <c r="G272">
        <v>12315.1599999999</v>
      </c>
      <c r="H272" t="s">
        <v>451</v>
      </c>
      <c r="I272">
        <v>0</v>
      </c>
      <c r="J272">
        <v>0</v>
      </c>
      <c r="K272">
        <v>0</v>
      </c>
      <c r="L272">
        <v>0</v>
      </c>
      <c r="M272" t="s">
        <v>101</v>
      </c>
      <c r="N272">
        <v>12315.1599999999</v>
      </c>
      <c r="O272" t="s">
        <v>451</v>
      </c>
      <c r="P272" t="b">
        <v>1</v>
      </c>
      <c r="Q272">
        <v>12315.153842424517</v>
      </c>
      <c r="R272">
        <v>500</v>
      </c>
      <c r="S272">
        <v>13.315153842424518</v>
      </c>
      <c r="T272">
        <v>0</v>
      </c>
      <c r="U272">
        <v>0</v>
      </c>
      <c r="V272">
        <v>0</v>
      </c>
    </row>
    <row r="273" spans="1:22" x14ac:dyDescent="0.25">
      <c r="A273"/>
      <c r="B273">
        <v>11220</v>
      </c>
      <c r="C273" t="s">
        <v>320</v>
      </c>
      <c r="D273" t="s">
        <v>47</v>
      </c>
      <c r="E273" t="s">
        <v>436</v>
      </c>
      <c r="F273" t="s">
        <v>101</v>
      </c>
      <c r="G273">
        <v>12367.5799999999</v>
      </c>
      <c r="H273" t="s">
        <v>451</v>
      </c>
      <c r="I273">
        <v>0</v>
      </c>
      <c r="J273">
        <v>0</v>
      </c>
      <c r="K273">
        <v>0</v>
      </c>
      <c r="L273">
        <v>0</v>
      </c>
      <c r="M273" t="s">
        <v>101</v>
      </c>
      <c r="N273">
        <v>12367.5799999999</v>
      </c>
      <c r="O273" t="s">
        <v>451</v>
      </c>
      <c r="P273" t="b">
        <v>1</v>
      </c>
      <c r="Q273">
        <v>12367.573816214537</v>
      </c>
      <c r="R273">
        <v>500</v>
      </c>
      <c r="S273">
        <v>13.367573816214538</v>
      </c>
      <c r="T273">
        <v>0</v>
      </c>
      <c r="U273">
        <v>0</v>
      </c>
      <c r="V273">
        <v>0</v>
      </c>
    </row>
    <row r="274" spans="1:22" x14ac:dyDescent="0.25">
      <c r="A274"/>
      <c r="B274">
        <v>11221</v>
      </c>
      <c r="C274" t="s">
        <v>321</v>
      </c>
      <c r="D274" t="s">
        <v>47</v>
      </c>
      <c r="E274" t="s">
        <v>436</v>
      </c>
      <c r="F274" t="s">
        <v>101</v>
      </c>
      <c r="G274">
        <v>12447</v>
      </c>
      <c r="H274" t="s">
        <v>451</v>
      </c>
      <c r="I274">
        <v>0</v>
      </c>
      <c r="J274">
        <v>0</v>
      </c>
      <c r="K274">
        <v>0</v>
      </c>
      <c r="L274">
        <v>0</v>
      </c>
      <c r="M274" t="s">
        <v>101</v>
      </c>
      <c r="N274">
        <v>12447</v>
      </c>
      <c r="O274" t="s">
        <v>451</v>
      </c>
      <c r="P274" t="b">
        <v>1</v>
      </c>
      <c r="Q274">
        <v>12446.993776504667</v>
      </c>
      <c r="R274">
        <v>500</v>
      </c>
      <c r="S274">
        <v>13.446993776504666</v>
      </c>
      <c r="T274">
        <v>0</v>
      </c>
      <c r="U274">
        <v>0</v>
      </c>
      <c r="V274">
        <v>0</v>
      </c>
    </row>
    <row r="275" spans="1:22" x14ac:dyDescent="0.25">
      <c r="A275"/>
      <c r="B275">
        <v>11222</v>
      </c>
      <c r="C275" t="s">
        <v>322</v>
      </c>
      <c r="D275" t="s">
        <v>47</v>
      </c>
      <c r="E275" t="s">
        <v>436</v>
      </c>
      <c r="F275" t="s">
        <v>101</v>
      </c>
      <c r="G275">
        <v>12468</v>
      </c>
      <c r="H275" t="s">
        <v>451</v>
      </c>
      <c r="I275">
        <v>0</v>
      </c>
      <c r="J275">
        <v>0</v>
      </c>
      <c r="K275">
        <v>0</v>
      </c>
      <c r="L275">
        <v>0</v>
      </c>
      <c r="M275" t="s">
        <v>101</v>
      </c>
      <c r="N275">
        <v>12468</v>
      </c>
      <c r="O275" t="s">
        <v>451</v>
      </c>
      <c r="P275" t="b">
        <v>1</v>
      </c>
      <c r="Q275">
        <v>12467.993766004674</v>
      </c>
      <c r="R275">
        <v>500</v>
      </c>
      <c r="S275">
        <v>13.467993766004675</v>
      </c>
      <c r="T275">
        <v>0</v>
      </c>
      <c r="U275">
        <v>0</v>
      </c>
      <c r="V275">
        <v>0</v>
      </c>
    </row>
    <row r="276" spans="1:22" x14ac:dyDescent="0.25">
      <c r="A276"/>
      <c r="B276">
        <v>11223</v>
      </c>
      <c r="C276" t="s">
        <v>323</v>
      </c>
      <c r="D276" t="s">
        <v>47</v>
      </c>
      <c r="E276" t="s">
        <v>436</v>
      </c>
      <c r="F276" t="s">
        <v>101</v>
      </c>
      <c r="G276">
        <v>12588</v>
      </c>
      <c r="H276" t="s">
        <v>451</v>
      </c>
      <c r="I276">
        <v>0</v>
      </c>
      <c r="J276">
        <v>0</v>
      </c>
      <c r="K276">
        <v>0</v>
      </c>
      <c r="L276">
        <v>0</v>
      </c>
      <c r="M276" t="s">
        <v>101</v>
      </c>
      <c r="N276">
        <v>12588</v>
      </c>
      <c r="O276" t="s">
        <v>451</v>
      </c>
      <c r="P276" t="b">
        <v>1</v>
      </c>
      <c r="Q276">
        <v>12587.99370600472</v>
      </c>
      <c r="R276">
        <v>500</v>
      </c>
      <c r="S276">
        <v>13.58799370600472</v>
      </c>
      <c r="T276">
        <v>0</v>
      </c>
      <c r="U276">
        <v>0</v>
      </c>
      <c r="V276">
        <v>0</v>
      </c>
    </row>
    <row r="277" spans="1:22" x14ac:dyDescent="0.25">
      <c r="A277"/>
      <c r="B277">
        <v>11224</v>
      </c>
      <c r="C277" t="s">
        <v>324</v>
      </c>
      <c r="D277" t="s">
        <v>47</v>
      </c>
      <c r="E277" t="s">
        <v>436</v>
      </c>
      <c r="F277" t="s">
        <v>101</v>
      </c>
      <c r="G277">
        <v>12788</v>
      </c>
      <c r="H277" t="s">
        <v>451</v>
      </c>
      <c r="I277">
        <v>0</v>
      </c>
      <c r="J277">
        <v>0</v>
      </c>
      <c r="K277">
        <v>0</v>
      </c>
      <c r="L277">
        <v>0</v>
      </c>
      <c r="M277" t="s">
        <v>101</v>
      </c>
      <c r="N277">
        <v>12788</v>
      </c>
      <c r="O277" t="s">
        <v>451</v>
      </c>
      <c r="P277" t="b">
        <v>1</v>
      </c>
      <c r="Q277">
        <v>12787.993606004795</v>
      </c>
      <c r="R277">
        <v>500</v>
      </c>
      <c r="S277">
        <v>13.787993606004795</v>
      </c>
      <c r="T277">
        <v>0</v>
      </c>
      <c r="U277">
        <v>0</v>
      </c>
      <c r="V277">
        <v>0</v>
      </c>
    </row>
    <row r="278" spans="1:22" x14ac:dyDescent="0.25">
      <c r="A278"/>
      <c r="B278">
        <v>11225</v>
      </c>
      <c r="C278" t="s">
        <v>325</v>
      </c>
      <c r="D278" t="s">
        <v>47</v>
      </c>
      <c r="E278" t="s">
        <v>436</v>
      </c>
      <c r="F278" t="s">
        <v>101</v>
      </c>
      <c r="G278">
        <v>12923</v>
      </c>
      <c r="H278" t="s">
        <v>451</v>
      </c>
      <c r="I278">
        <v>0</v>
      </c>
      <c r="J278">
        <v>0</v>
      </c>
      <c r="K278">
        <v>0</v>
      </c>
      <c r="L278">
        <v>0</v>
      </c>
      <c r="M278" t="s">
        <v>101</v>
      </c>
      <c r="N278">
        <v>12923</v>
      </c>
      <c r="O278" t="s">
        <v>451</v>
      </c>
      <c r="P278" t="b">
        <v>1</v>
      </c>
      <c r="Q278">
        <v>12922.993538504845</v>
      </c>
      <c r="R278">
        <v>500</v>
      </c>
      <c r="S278">
        <v>13.922993538504844</v>
      </c>
      <c r="T278">
        <v>0</v>
      </c>
      <c r="U278">
        <v>0</v>
      </c>
      <c r="V278">
        <v>0</v>
      </c>
    </row>
    <row r="279" spans="1:22" x14ac:dyDescent="0.25">
      <c r="A279"/>
      <c r="B279">
        <v>11226</v>
      </c>
      <c r="C279" t="s">
        <v>326</v>
      </c>
      <c r="D279" t="s">
        <v>47</v>
      </c>
      <c r="E279" t="s">
        <v>436</v>
      </c>
      <c r="F279" t="s">
        <v>101</v>
      </c>
      <c r="G279">
        <v>13116</v>
      </c>
      <c r="H279" t="s">
        <v>451</v>
      </c>
      <c r="I279">
        <v>0</v>
      </c>
      <c r="J279">
        <v>0</v>
      </c>
      <c r="K279">
        <v>0</v>
      </c>
      <c r="L279">
        <v>0</v>
      </c>
      <c r="M279" t="s">
        <v>101</v>
      </c>
      <c r="N279">
        <v>13116</v>
      </c>
      <c r="O279" t="s">
        <v>451</v>
      </c>
      <c r="P279" t="b">
        <v>1</v>
      </c>
      <c r="Q279">
        <v>13115.993442004918</v>
      </c>
      <c r="R279">
        <v>500</v>
      </c>
      <c r="S279">
        <v>14.115993442004918</v>
      </c>
      <c r="T279">
        <v>0</v>
      </c>
      <c r="U279">
        <v>0</v>
      </c>
      <c r="V279">
        <v>0</v>
      </c>
    </row>
    <row r="280" spans="1:22" x14ac:dyDescent="0.25">
      <c r="A280"/>
      <c r="B280">
        <v>11227</v>
      </c>
      <c r="C280" t="s">
        <v>327</v>
      </c>
      <c r="D280" t="s">
        <v>47</v>
      </c>
      <c r="E280" t="s">
        <v>436</v>
      </c>
      <c r="F280" t="s">
        <v>101</v>
      </c>
      <c r="G280">
        <v>13236</v>
      </c>
      <c r="H280" t="s">
        <v>451</v>
      </c>
      <c r="I280">
        <v>0</v>
      </c>
      <c r="J280">
        <v>0</v>
      </c>
      <c r="K280">
        <v>0</v>
      </c>
      <c r="L280">
        <v>0</v>
      </c>
      <c r="M280" t="s">
        <v>101</v>
      </c>
      <c r="N280">
        <v>13236</v>
      </c>
      <c r="O280" t="s">
        <v>451</v>
      </c>
      <c r="P280" t="b">
        <v>1</v>
      </c>
      <c r="Q280">
        <v>13235.993382004963</v>
      </c>
      <c r="R280">
        <v>500</v>
      </c>
      <c r="S280">
        <v>14.235993382004963</v>
      </c>
      <c r="T280">
        <v>0</v>
      </c>
      <c r="U280">
        <v>0</v>
      </c>
      <c r="V280">
        <v>0</v>
      </c>
    </row>
    <row r="281" spans="1:22" x14ac:dyDescent="0.25">
      <c r="A281"/>
      <c r="B281">
        <v>11228</v>
      </c>
      <c r="C281" t="s">
        <v>328</v>
      </c>
      <c r="D281" t="s">
        <v>47</v>
      </c>
      <c r="E281" t="s">
        <v>436</v>
      </c>
      <c r="F281" t="s">
        <v>101</v>
      </c>
      <c r="G281">
        <v>13257</v>
      </c>
      <c r="H281" t="s">
        <v>451</v>
      </c>
      <c r="I281">
        <v>0</v>
      </c>
      <c r="J281">
        <v>0</v>
      </c>
      <c r="K281">
        <v>0</v>
      </c>
      <c r="L281">
        <v>0</v>
      </c>
      <c r="M281" t="s">
        <v>101</v>
      </c>
      <c r="N281">
        <v>13257</v>
      </c>
      <c r="O281" t="s">
        <v>451</v>
      </c>
      <c r="P281" t="b">
        <v>1</v>
      </c>
      <c r="Q281">
        <v>13256.99337150497</v>
      </c>
      <c r="R281">
        <v>500</v>
      </c>
      <c r="S281">
        <v>14.25699337150497</v>
      </c>
      <c r="T281">
        <v>0</v>
      </c>
      <c r="U281">
        <v>0</v>
      </c>
      <c r="V281">
        <v>0</v>
      </c>
    </row>
    <row r="282" spans="1:22" x14ac:dyDescent="0.25">
      <c r="A282"/>
      <c r="B282">
        <v>11229</v>
      </c>
      <c r="C282" t="s">
        <v>329</v>
      </c>
      <c r="D282" t="s">
        <v>47</v>
      </c>
      <c r="E282" t="s">
        <v>436</v>
      </c>
      <c r="F282" t="s">
        <v>101</v>
      </c>
      <c r="G282">
        <v>13353.28</v>
      </c>
      <c r="H282" t="s">
        <v>451</v>
      </c>
      <c r="I282">
        <v>0</v>
      </c>
      <c r="J282">
        <v>0</v>
      </c>
      <c r="K282">
        <v>0</v>
      </c>
      <c r="L282">
        <v>0</v>
      </c>
      <c r="M282" t="s">
        <v>101</v>
      </c>
      <c r="N282">
        <v>13353.28</v>
      </c>
      <c r="O282" t="s">
        <v>451</v>
      </c>
      <c r="P282" t="b">
        <v>1</v>
      </c>
      <c r="Q282">
        <v>13353.273323365007</v>
      </c>
      <c r="R282">
        <v>500</v>
      </c>
      <c r="S282">
        <v>14.353273323365007</v>
      </c>
      <c r="T282">
        <v>0</v>
      </c>
      <c r="U282">
        <v>0</v>
      </c>
      <c r="V282">
        <v>0</v>
      </c>
    </row>
    <row r="283" spans="1:22" x14ac:dyDescent="0.25">
      <c r="A283"/>
      <c r="B283">
        <v>11230</v>
      </c>
      <c r="C283" t="s">
        <v>330</v>
      </c>
      <c r="D283" t="s">
        <v>47</v>
      </c>
      <c r="E283" t="s">
        <v>436</v>
      </c>
      <c r="F283" t="s">
        <v>101</v>
      </c>
      <c r="G283">
        <v>13368.139999999899</v>
      </c>
      <c r="H283" t="s">
        <v>451</v>
      </c>
      <c r="I283">
        <v>0</v>
      </c>
      <c r="J283">
        <v>0</v>
      </c>
      <c r="K283">
        <v>0</v>
      </c>
      <c r="L283">
        <v>0</v>
      </c>
      <c r="M283" t="s">
        <v>101</v>
      </c>
      <c r="N283">
        <v>13368.139999999899</v>
      </c>
      <c r="O283" t="s">
        <v>451</v>
      </c>
      <c r="P283" t="b">
        <v>1</v>
      </c>
      <c r="Q283">
        <v>13368.133315934912</v>
      </c>
      <c r="R283">
        <v>500</v>
      </c>
      <c r="S283">
        <v>14.368133315934912</v>
      </c>
      <c r="T283">
        <v>0</v>
      </c>
      <c r="U283">
        <v>0</v>
      </c>
      <c r="V283">
        <v>0</v>
      </c>
    </row>
    <row r="284" spans="1:22" x14ac:dyDescent="0.25">
      <c r="A284"/>
      <c r="B284">
        <v>11231</v>
      </c>
      <c r="C284" t="s">
        <v>331</v>
      </c>
      <c r="D284" t="s">
        <v>47</v>
      </c>
      <c r="E284" t="s">
        <v>436</v>
      </c>
      <c r="F284" t="s">
        <v>101</v>
      </c>
      <c r="G284">
        <v>13371.139999999899</v>
      </c>
      <c r="H284" t="s">
        <v>451</v>
      </c>
      <c r="I284">
        <v>0</v>
      </c>
      <c r="J284">
        <v>0</v>
      </c>
      <c r="K284">
        <v>0</v>
      </c>
      <c r="L284">
        <v>0</v>
      </c>
      <c r="M284" t="s">
        <v>101</v>
      </c>
      <c r="N284">
        <v>13371.139999999899</v>
      </c>
      <c r="O284" t="s">
        <v>451</v>
      </c>
      <c r="P284" t="b">
        <v>1</v>
      </c>
      <c r="Q284">
        <v>13371.133314434914</v>
      </c>
      <c r="R284">
        <v>500</v>
      </c>
      <c r="S284">
        <v>14.371133314434912</v>
      </c>
      <c r="T284">
        <v>0</v>
      </c>
      <c r="U284">
        <v>0</v>
      </c>
      <c r="V284">
        <v>0</v>
      </c>
    </row>
    <row r="285" spans="1:22" x14ac:dyDescent="0.25">
      <c r="A285"/>
      <c r="B285">
        <v>11232</v>
      </c>
      <c r="C285" t="s">
        <v>332</v>
      </c>
      <c r="D285" t="s">
        <v>47</v>
      </c>
      <c r="E285" t="s">
        <v>436</v>
      </c>
      <c r="F285" t="s">
        <v>101</v>
      </c>
      <c r="G285">
        <v>13391.059999999899</v>
      </c>
      <c r="H285" t="s">
        <v>451</v>
      </c>
      <c r="I285">
        <v>0</v>
      </c>
      <c r="J285">
        <v>0</v>
      </c>
      <c r="K285">
        <v>0</v>
      </c>
      <c r="L285">
        <v>0</v>
      </c>
      <c r="M285" t="s">
        <v>101</v>
      </c>
      <c r="N285">
        <v>13391.059999999899</v>
      </c>
      <c r="O285" t="s">
        <v>451</v>
      </c>
      <c r="P285" t="b">
        <v>1</v>
      </c>
      <c r="Q285">
        <v>13391.053304474921</v>
      </c>
      <c r="R285">
        <v>500</v>
      </c>
      <c r="S285">
        <v>14.391053304474919</v>
      </c>
      <c r="T285">
        <v>0</v>
      </c>
      <c r="U285">
        <v>0</v>
      </c>
      <c r="V285">
        <v>0</v>
      </c>
    </row>
    <row r="286" spans="1:22" x14ac:dyDescent="0.25">
      <c r="A286"/>
      <c r="B286">
        <v>11233</v>
      </c>
      <c r="C286" t="s">
        <v>333</v>
      </c>
      <c r="D286" t="s">
        <v>47</v>
      </c>
      <c r="E286" t="s">
        <v>436</v>
      </c>
      <c r="F286" t="s">
        <v>101</v>
      </c>
      <c r="G286">
        <v>13394.059999999899</v>
      </c>
      <c r="H286" t="s">
        <v>451</v>
      </c>
      <c r="I286">
        <v>0</v>
      </c>
      <c r="J286">
        <v>0</v>
      </c>
      <c r="K286">
        <v>0</v>
      </c>
      <c r="L286">
        <v>0</v>
      </c>
      <c r="M286" t="s">
        <v>101</v>
      </c>
      <c r="N286">
        <v>13394.059999999899</v>
      </c>
      <c r="O286" t="s">
        <v>451</v>
      </c>
      <c r="P286" t="b">
        <v>1</v>
      </c>
      <c r="Q286">
        <v>13394.053302974922</v>
      </c>
      <c r="R286">
        <v>500</v>
      </c>
      <c r="S286">
        <v>14.394053302974921</v>
      </c>
      <c r="T286">
        <v>0</v>
      </c>
      <c r="U286">
        <v>0</v>
      </c>
      <c r="V286">
        <v>0</v>
      </c>
    </row>
    <row r="287" spans="1:22" x14ac:dyDescent="0.25">
      <c r="A287"/>
      <c r="B287">
        <v>11234</v>
      </c>
      <c r="C287" t="s">
        <v>334</v>
      </c>
      <c r="D287" t="s">
        <v>47</v>
      </c>
      <c r="E287" t="s">
        <v>436</v>
      </c>
      <c r="F287" t="s">
        <v>101</v>
      </c>
      <c r="G287">
        <v>13452.0799999999</v>
      </c>
      <c r="H287" t="s">
        <v>451</v>
      </c>
      <c r="I287">
        <v>0</v>
      </c>
      <c r="J287">
        <v>0</v>
      </c>
      <c r="K287">
        <v>0</v>
      </c>
      <c r="L287">
        <v>0</v>
      </c>
      <c r="M287" t="s">
        <v>101</v>
      </c>
      <c r="N287">
        <v>13452.0799999999</v>
      </c>
      <c r="O287" t="s">
        <v>451</v>
      </c>
      <c r="P287" t="b">
        <v>1</v>
      </c>
      <c r="Q287">
        <v>13452.073273964943</v>
      </c>
      <c r="R287">
        <v>500</v>
      </c>
      <c r="S287">
        <v>14.452073273964944</v>
      </c>
      <c r="T287">
        <v>0</v>
      </c>
      <c r="U287">
        <v>0</v>
      </c>
      <c r="V287">
        <v>0</v>
      </c>
    </row>
    <row r="288" spans="1:22" x14ac:dyDescent="0.25">
      <c r="A288"/>
      <c r="B288">
        <v>11235</v>
      </c>
      <c r="C288" t="s">
        <v>335</v>
      </c>
      <c r="D288" t="s">
        <v>47</v>
      </c>
      <c r="E288" t="s">
        <v>436</v>
      </c>
      <c r="F288" t="s">
        <v>101</v>
      </c>
      <c r="G288">
        <v>13487.18</v>
      </c>
      <c r="H288" t="s">
        <v>451</v>
      </c>
      <c r="I288">
        <v>0</v>
      </c>
      <c r="J288">
        <v>0</v>
      </c>
      <c r="K288">
        <v>0</v>
      </c>
      <c r="L288">
        <v>0</v>
      </c>
      <c r="M288" t="s">
        <v>101</v>
      </c>
      <c r="N288">
        <v>13487.18</v>
      </c>
      <c r="O288" t="s">
        <v>451</v>
      </c>
      <c r="P288" t="b">
        <v>1</v>
      </c>
      <c r="Q288">
        <v>13487.173256415057</v>
      </c>
      <c r="R288">
        <v>500</v>
      </c>
      <c r="S288">
        <v>14.487173256415057</v>
      </c>
      <c r="T288">
        <v>0</v>
      </c>
      <c r="U288">
        <v>0</v>
      </c>
      <c r="V288">
        <v>0</v>
      </c>
    </row>
    <row r="289" spans="1:22" x14ac:dyDescent="0.25">
      <c r="A289"/>
      <c r="B289">
        <v>11236</v>
      </c>
      <c r="C289" t="s">
        <v>336</v>
      </c>
      <c r="D289" t="s">
        <v>47</v>
      </c>
      <c r="E289" t="s">
        <v>436</v>
      </c>
      <c r="F289" t="s">
        <v>101</v>
      </c>
      <c r="G289">
        <v>13490.18</v>
      </c>
      <c r="H289" t="s">
        <v>451</v>
      </c>
      <c r="I289">
        <v>0</v>
      </c>
      <c r="J289">
        <v>0</v>
      </c>
      <c r="K289">
        <v>0</v>
      </c>
      <c r="L289">
        <v>0</v>
      </c>
      <c r="M289" t="s">
        <v>101</v>
      </c>
      <c r="N289">
        <v>13490.18</v>
      </c>
      <c r="O289" t="s">
        <v>451</v>
      </c>
      <c r="P289" t="b">
        <v>1</v>
      </c>
      <c r="Q289">
        <v>13490.173254915058</v>
      </c>
      <c r="R289">
        <v>500</v>
      </c>
      <c r="S289">
        <v>14.490173254915058</v>
      </c>
      <c r="T289">
        <v>0</v>
      </c>
      <c r="U289">
        <v>0</v>
      </c>
      <c r="V289">
        <v>0</v>
      </c>
    </row>
    <row r="290" spans="1:22" x14ac:dyDescent="0.25">
      <c r="A290"/>
      <c r="B290">
        <v>11237</v>
      </c>
      <c r="C290" t="s">
        <v>337</v>
      </c>
      <c r="D290" t="s">
        <v>47</v>
      </c>
      <c r="E290" t="s">
        <v>436</v>
      </c>
      <c r="F290" t="s">
        <v>101</v>
      </c>
      <c r="G290">
        <v>13510.1</v>
      </c>
      <c r="H290" t="s">
        <v>451</v>
      </c>
      <c r="I290">
        <v>0</v>
      </c>
      <c r="J290">
        <v>0</v>
      </c>
      <c r="K290">
        <v>0</v>
      </c>
      <c r="L290">
        <v>0</v>
      </c>
      <c r="M290" t="s">
        <v>101</v>
      </c>
      <c r="N290">
        <v>13510.1</v>
      </c>
      <c r="O290" t="s">
        <v>451</v>
      </c>
      <c r="P290" t="b">
        <v>1</v>
      </c>
      <c r="Q290">
        <v>13510.093244955067</v>
      </c>
      <c r="R290">
        <v>500</v>
      </c>
      <c r="S290">
        <v>14.510093244955065</v>
      </c>
      <c r="T290">
        <v>0</v>
      </c>
      <c r="U290">
        <v>0</v>
      </c>
      <c r="V290">
        <v>0</v>
      </c>
    </row>
    <row r="291" spans="1:22" x14ac:dyDescent="0.25">
      <c r="A291"/>
      <c r="B291">
        <v>11238</v>
      </c>
      <c r="C291" t="s">
        <v>338</v>
      </c>
      <c r="D291" t="s">
        <v>47</v>
      </c>
      <c r="E291" t="s">
        <v>436</v>
      </c>
      <c r="F291" t="s">
        <v>101</v>
      </c>
      <c r="G291">
        <v>13513.1</v>
      </c>
      <c r="H291" t="s">
        <v>451</v>
      </c>
      <c r="I291">
        <v>0</v>
      </c>
      <c r="J291">
        <v>0</v>
      </c>
      <c r="K291">
        <v>0</v>
      </c>
      <c r="L291">
        <v>0</v>
      </c>
      <c r="M291" t="s">
        <v>101</v>
      </c>
      <c r="N291">
        <v>13513.1</v>
      </c>
      <c r="O291" t="s">
        <v>451</v>
      </c>
      <c r="P291" t="b">
        <v>1</v>
      </c>
      <c r="Q291">
        <v>13513.093243455067</v>
      </c>
      <c r="R291">
        <v>500</v>
      </c>
      <c r="S291">
        <v>14.513093243455067</v>
      </c>
      <c r="T291">
        <v>0</v>
      </c>
      <c r="U291">
        <v>0</v>
      </c>
      <c r="V291">
        <v>0</v>
      </c>
    </row>
    <row r="292" spans="1:22" x14ac:dyDescent="0.25">
      <c r="A292"/>
      <c r="B292">
        <v>11239</v>
      </c>
      <c r="C292" t="s">
        <v>339</v>
      </c>
      <c r="D292" t="s">
        <v>47</v>
      </c>
      <c r="E292" t="s">
        <v>436</v>
      </c>
      <c r="F292" t="s">
        <v>101</v>
      </c>
      <c r="G292">
        <v>13565.52</v>
      </c>
      <c r="H292" t="s">
        <v>451</v>
      </c>
      <c r="I292">
        <v>0</v>
      </c>
      <c r="J292">
        <v>0</v>
      </c>
      <c r="K292">
        <v>0</v>
      </c>
      <c r="L292">
        <v>0</v>
      </c>
      <c r="M292" t="s">
        <v>101</v>
      </c>
      <c r="N292">
        <v>13565.52</v>
      </c>
      <c r="O292" t="s">
        <v>451</v>
      </c>
      <c r="P292" t="b">
        <v>1</v>
      </c>
      <c r="Q292">
        <v>13565.513217245087</v>
      </c>
      <c r="R292">
        <v>500</v>
      </c>
      <c r="S292">
        <v>14.565513217245087</v>
      </c>
      <c r="T292">
        <v>0</v>
      </c>
      <c r="U292">
        <v>0</v>
      </c>
      <c r="V292">
        <v>0</v>
      </c>
    </row>
    <row r="293" spans="1:22" x14ac:dyDescent="0.25">
      <c r="A293"/>
      <c r="B293">
        <v>11240</v>
      </c>
      <c r="C293" t="s">
        <v>340</v>
      </c>
      <c r="D293" t="s">
        <v>47</v>
      </c>
      <c r="E293" t="s">
        <v>436</v>
      </c>
      <c r="F293" t="s">
        <v>101</v>
      </c>
      <c r="G293">
        <v>13645</v>
      </c>
      <c r="H293" t="s">
        <v>451</v>
      </c>
      <c r="I293">
        <v>0</v>
      </c>
      <c r="J293">
        <v>0</v>
      </c>
      <c r="K293">
        <v>0</v>
      </c>
      <c r="L293">
        <v>0</v>
      </c>
      <c r="M293" t="s">
        <v>101</v>
      </c>
      <c r="N293">
        <v>13645</v>
      </c>
      <c r="O293" t="s">
        <v>451</v>
      </c>
      <c r="P293" t="b">
        <v>1</v>
      </c>
      <c r="Q293">
        <v>13644.993177505115</v>
      </c>
      <c r="R293">
        <v>500</v>
      </c>
      <c r="S293">
        <v>14.644993177505116</v>
      </c>
      <c r="T293">
        <v>0</v>
      </c>
      <c r="U293">
        <v>0</v>
      </c>
      <c r="V293">
        <v>0</v>
      </c>
    </row>
    <row r="294" spans="1:22" x14ac:dyDescent="0.25">
      <c r="A294"/>
      <c r="B294">
        <v>11241</v>
      </c>
      <c r="C294" t="s">
        <v>341</v>
      </c>
      <c r="D294" t="s">
        <v>47</v>
      </c>
      <c r="E294" t="s">
        <v>436</v>
      </c>
      <c r="F294" t="s">
        <v>101</v>
      </c>
      <c r="G294">
        <v>13666</v>
      </c>
      <c r="H294" t="s">
        <v>451</v>
      </c>
      <c r="I294">
        <v>0</v>
      </c>
      <c r="J294">
        <v>0</v>
      </c>
      <c r="K294">
        <v>0</v>
      </c>
      <c r="L294">
        <v>0</v>
      </c>
      <c r="M294" t="s">
        <v>101</v>
      </c>
      <c r="N294">
        <v>13666</v>
      </c>
      <c r="O294" t="s">
        <v>451</v>
      </c>
      <c r="P294" t="b">
        <v>1</v>
      </c>
      <c r="Q294">
        <v>13665.993167005125</v>
      </c>
      <c r="R294">
        <v>500</v>
      </c>
      <c r="S294">
        <v>14.665993167005123</v>
      </c>
      <c r="T294">
        <v>0</v>
      </c>
      <c r="U294">
        <v>0</v>
      </c>
      <c r="V294">
        <v>0</v>
      </c>
    </row>
    <row r="295" spans="1:22" x14ac:dyDescent="0.25">
      <c r="A295"/>
      <c r="B295">
        <v>11242</v>
      </c>
      <c r="C295" t="s">
        <v>342</v>
      </c>
      <c r="D295" t="s">
        <v>47</v>
      </c>
      <c r="E295" t="s">
        <v>436</v>
      </c>
      <c r="F295" t="s">
        <v>101</v>
      </c>
      <c r="G295">
        <v>13786</v>
      </c>
      <c r="H295" t="s">
        <v>451</v>
      </c>
      <c r="I295">
        <v>0</v>
      </c>
      <c r="J295">
        <v>0</v>
      </c>
      <c r="K295">
        <v>0</v>
      </c>
      <c r="L295">
        <v>0</v>
      </c>
      <c r="M295" t="s">
        <v>101</v>
      </c>
      <c r="N295">
        <v>13786</v>
      </c>
      <c r="O295" t="s">
        <v>451</v>
      </c>
      <c r="P295" t="b">
        <v>1</v>
      </c>
      <c r="Q295">
        <v>13785.99310700517</v>
      </c>
      <c r="R295">
        <v>500</v>
      </c>
      <c r="S295">
        <v>14.785993107005169</v>
      </c>
      <c r="T295">
        <v>0</v>
      </c>
      <c r="U295">
        <v>0</v>
      </c>
      <c r="V295">
        <v>0</v>
      </c>
    </row>
    <row r="296" spans="1:22" x14ac:dyDescent="0.25">
      <c r="A296"/>
      <c r="B296">
        <v>11243</v>
      </c>
      <c r="C296" t="s">
        <v>343</v>
      </c>
      <c r="D296" t="s">
        <v>47</v>
      </c>
      <c r="E296" t="s">
        <v>436</v>
      </c>
      <c r="F296" t="s">
        <v>101</v>
      </c>
      <c r="G296">
        <v>13946</v>
      </c>
      <c r="H296" t="s">
        <v>451</v>
      </c>
      <c r="I296">
        <v>0</v>
      </c>
      <c r="J296">
        <v>0</v>
      </c>
      <c r="K296">
        <v>0</v>
      </c>
      <c r="L296">
        <v>0</v>
      </c>
      <c r="M296" t="s">
        <v>101</v>
      </c>
      <c r="N296">
        <v>13946</v>
      </c>
      <c r="O296" t="s">
        <v>451</v>
      </c>
      <c r="P296" t="b">
        <v>1</v>
      </c>
      <c r="Q296">
        <v>13945.993027005228</v>
      </c>
      <c r="R296">
        <v>500</v>
      </c>
      <c r="S296">
        <v>14.94599302700523</v>
      </c>
      <c r="T296">
        <v>0</v>
      </c>
      <c r="U296">
        <v>0</v>
      </c>
      <c r="V296">
        <v>0</v>
      </c>
    </row>
    <row r="297" spans="1:22" x14ac:dyDescent="0.25">
      <c r="A297"/>
      <c r="B297">
        <v>11244</v>
      </c>
      <c r="C297" t="s">
        <v>344</v>
      </c>
      <c r="D297" t="s">
        <v>47</v>
      </c>
      <c r="E297" t="s">
        <v>436</v>
      </c>
      <c r="F297" t="s">
        <v>101</v>
      </c>
      <c r="G297">
        <v>14138</v>
      </c>
      <c r="H297" t="s">
        <v>451</v>
      </c>
      <c r="I297">
        <v>0</v>
      </c>
      <c r="J297">
        <v>0</v>
      </c>
      <c r="K297">
        <v>0</v>
      </c>
      <c r="L297">
        <v>0</v>
      </c>
      <c r="M297" t="s">
        <v>101</v>
      </c>
      <c r="N297">
        <v>14138</v>
      </c>
      <c r="O297" t="s">
        <v>451</v>
      </c>
      <c r="P297" t="b">
        <v>1</v>
      </c>
      <c r="Q297">
        <v>14137.992931005301</v>
      </c>
      <c r="R297">
        <v>500</v>
      </c>
      <c r="S297">
        <v>15.1379929310053</v>
      </c>
      <c r="T297">
        <v>0</v>
      </c>
      <c r="U297">
        <v>0</v>
      </c>
      <c r="V297">
        <v>0</v>
      </c>
    </row>
    <row r="298" spans="1:22" x14ac:dyDescent="0.25">
      <c r="A298"/>
      <c r="B298">
        <v>11245</v>
      </c>
      <c r="C298" t="s">
        <v>345</v>
      </c>
      <c r="D298" t="s">
        <v>47</v>
      </c>
      <c r="E298" t="s">
        <v>436</v>
      </c>
      <c r="F298" t="s">
        <v>101</v>
      </c>
      <c r="G298">
        <v>14258</v>
      </c>
      <c r="H298" t="s">
        <v>451</v>
      </c>
      <c r="I298">
        <v>0</v>
      </c>
      <c r="J298">
        <v>0</v>
      </c>
      <c r="K298">
        <v>0</v>
      </c>
      <c r="L298">
        <v>0</v>
      </c>
      <c r="M298" t="s">
        <v>101</v>
      </c>
      <c r="N298">
        <v>14258</v>
      </c>
      <c r="O298" t="s">
        <v>451</v>
      </c>
      <c r="P298" t="b">
        <v>1</v>
      </c>
      <c r="Q298">
        <v>14257.992871005346</v>
      </c>
      <c r="R298">
        <v>500</v>
      </c>
      <c r="S298">
        <v>15.257992871005346</v>
      </c>
      <c r="T298">
        <v>0</v>
      </c>
      <c r="U298">
        <v>0</v>
      </c>
      <c r="V298">
        <v>0</v>
      </c>
    </row>
    <row r="299" spans="1:22" x14ac:dyDescent="0.25">
      <c r="A299"/>
      <c r="B299">
        <v>11246</v>
      </c>
      <c r="C299" t="s">
        <v>346</v>
      </c>
      <c r="D299" t="s">
        <v>47</v>
      </c>
      <c r="E299" t="s">
        <v>436</v>
      </c>
      <c r="F299" t="s">
        <v>101</v>
      </c>
      <c r="G299">
        <v>14279</v>
      </c>
      <c r="H299" t="s">
        <v>451</v>
      </c>
      <c r="I299">
        <v>0</v>
      </c>
      <c r="J299">
        <v>0</v>
      </c>
      <c r="K299">
        <v>0</v>
      </c>
      <c r="L299">
        <v>0</v>
      </c>
      <c r="M299" t="s">
        <v>101</v>
      </c>
      <c r="N299">
        <v>14279</v>
      </c>
      <c r="O299" t="s">
        <v>451</v>
      </c>
      <c r="P299" t="b">
        <v>1</v>
      </c>
      <c r="Q299">
        <v>14278.992860505354</v>
      </c>
      <c r="R299">
        <v>500</v>
      </c>
      <c r="S299">
        <v>15.278992860505355</v>
      </c>
      <c r="T299">
        <v>0</v>
      </c>
      <c r="U299">
        <v>0</v>
      </c>
      <c r="V299">
        <v>0</v>
      </c>
    </row>
    <row r="300" spans="1:22" x14ac:dyDescent="0.25">
      <c r="A300"/>
      <c r="B300">
        <v>11247</v>
      </c>
      <c r="C300" t="s">
        <v>347</v>
      </c>
      <c r="D300" t="s">
        <v>47</v>
      </c>
      <c r="E300" t="s">
        <v>436</v>
      </c>
      <c r="F300" t="s">
        <v>101</v>
      </c>
      <c r="G300">
        <v>14375.37</v>
      </c>
      <c r="H300" t="s">
        <v>451</v>
      </c>
      <c r="I300">
        <v>0</v>
      </c>
      <c r="J300">
        <v>0</v>
      </c>
      <c r="K300">
        <v>0</v>
      </c>
      <c r="L300">
        <v>0</v>
      </c>
      <c r="M300" t="s">
        <v>101</v>
      </c>
      <c r="N300">
        <v>14375.37</v>
      </c>
      <c r="O300" t="s">
        <v>451</v>
      </c>
      <c r="P300" t="b">
        <v>1</v>
      </c>
      <c r="Q300">
        <v>14375.362812320391</v>
      </c>
      <c r="R300">
        <v>500</v>
      </c>
      <c r="S300">
        <v>15.37536281232039</v>
      </c>
      <c r="T300">
        <v>0</v>
      </c>
      <c r="U300">
        <v>0</v>
      </c>
      <c r="V300">
        <v>0</v>
      </c>
    </row>
    <row r="301" spans="1:22" x14ac:dyDescent="0.25">
      <c r="A301"/>
      <c r="B301">
        <v>11248</v>
      </c>
      <c r="C301" t="s">
        <v>348</v>
      </c>
      <c r="D301" t="s">
        <v>47</v>
      </c>
      <c r="E301" t="s">
        <v>436</v>
      </c>
      <c r="F301" t="s">
        <v>101</v>
      </c>
      <c r="G301">
        <v>14390.2299999999</v>
      </c>
      <c r="H301" t="s">
        <v>451</v>
      </c>
      <c r="I301">
        <v>0</v>
      </c>
      <c r="J301">
        <v>0</v>
      </c>
      <c r="K301">
        <v>0</v>
      </c>
      <c r="L301">
        <v>0</v>
      </c>
      <c r="M301" t="s">
        <v>101</v>
      </c>
      <c r="N301">
        <v>14390.2299999999</v>
      </c>
      <c r="O301" t="s">
        <v>451</v>
      </c>
      <c r="P301" t="b">
        <v>1</v>
      </c>
      <c r="Q301">
        <v>14390.222804890294</v>
      </c>
      <c r="R301">
        <v>500</v>
      </c>
      <c r="S301">
        <v>15.390222804890294</v>
      </c>
      <c r="T301">
        <v>0</v>
      </c>
      <c r="U301">
        <v>0</v>
      </c>
      <c r="V301">
        <v>0</v>
      </c>
    </row>
    <row r="302" spans="1:22" x14ac:dyDescent="0.25">
      <c r="A302"/>
      <c r="B302">
        <v>11249</v>
      </c>
      <c r="C302" t="s">
        <v>349</v>
      </c>
      <c r="D302" t="s">
        <v>47</v>
      </c>
      <c r="E302" t="s">
        <v>436</v>
      </c>
      <c r="F302" t="s">
        <v>101</v>
      </c>
      <c r="G302">
        <v>14393.2299999999</v>
      </c>
      <c r="H302" t="s">
        <v>451</v>
      </c>
      <c r="I302">
        <v>0</v>
      </c>
      <c r="J302">
        <v>0</v>
      </c>
      <c r="K302">
        <v>0</v>
      </c>
      <c r="L302">
        <v>0</v>
      </c>
      <c r="M302" t="s">
        <v>101</v>
      </c>
      <c r="N302">
        <v>14393.2299999999</v>
      </c>
      <c r="O302" t="s">
        <v>451</v>
      </c>
      <c r="P302" t="b">
        <v>1</v>
      </c>
      <c r="Q302">
        <v>14393.222803390297</v>
      </c>
      <c r="R302">
        <v>500</v>
      </c>
      <c r="S302">
        <v>15.393222803390296</v>
      </c>
      <c r="T302">
        <v>0</v>
      </c>
      <c r="U302">
        <v>0</v>
      </c>
      <c r="V302">
        <v>0</v>
      </c>
    </row>
    <row r="303" spans="1:22" x14ac:dyDescent="0.25">
      <c r="A303"/>
      <c r="B303">
        <v>11250</v>
      </c>
      <c r="C303" t="s">
        <v>350</v>
      </c>
      <c r="D303" t="s">
        <v>47</v>
      </c>
      <c r="E303" t="s">
        <v>436</v>
      </c>
      <c r="F303" t="s">
        <v>101</v>
      </c>
      <c r="G303">
        <v>14413.1499999999</v>
      </c>
      <c r="H303" t="s">
        <v>451</v>
      </c>
      <c r="I303">
        <v>0</v>
      </c>
      <c r="J303">
        <v>0</v>
      </c>
      <c r="K303">
        <v>0</v>
      </c>
      <c r="L303">
        <v>0</v>
      </c>
      <c r="M303" t="s">
        <v>101</v>
      </c>
      <c r="N303">
        <v>14413.1499999999</v>
      </c>
      <c r="O303" t="s">
        <v>451</v>
      </c>
      <c r="P303" t="b">
        <v>1</v>
      </c>
      <c r="Q303">
        <v>14413.142793430303</v>
      </c>
      <c r="R303">
        <v>500</v>
      </c>
      <c r="S303">
        <v>15.413142793430303</v>
      </c>
      <c r="T303">
        <v>0</v>
      </c>
      <c r="U303">
        <v>0</v>
      </c>
      <c r="V303">
        <v>0</v>
      </c>
    </row>
    <row r="304" spans="1:22" x14ac:dyDescent="0.25">
      <c r="A304"/>
      <c r="B304">
        <v>11251</v>
      </c>
      <c r="C304" t="s">
        <v>351</v>
      </c>
      <c r="D304" t="s">
        <v>47</v>
      </c>
      <c r="E304" t="s">
        <v>436</v>
      </c>
      <c r="F304" t="s">
        <v>101</v>
      </c>
      <c r="G304">
        <v>14416.1499999999</v>
      </c>
      <c r="H304" t="s">
        <v>451</v>
      </c>
      <c r="I304">
        <v>0</v>
      </c>
      <c r="J304">
        <v>0</v>
      </c>
      <c r="K304">
        <v>0</v>
      </c>
      <c r="L304">
        <v>0</v>
      </c>
      <c r="M304" t="s">
        <v>101</v>
      </c>
      <c r="N304">
        <v>14416.1499999999</v>
      </c>
      <c r="O304" t="s">
        <v>451</v>
      </c>
      <c r="P304" t="b">
        <v>1</v>
      </c>
      <c r="Q304">
        <v>14416.142791930306</v>
      </c>
      <c r="R304">
        <v>500</v>
      </c>
      <c r="S304">
        <v>15.416142791930305</v>
      </c>
      <c r="T304">
        <v>0</v>
      </c>
      <c r="U304">
        <v>0</v>
      </c>
      <c r="V304">
        <v>0</v>
      </c>
    </row>
    <row r="305" spans="1:22" x14ac:dyDescent="0.25">
      <c r="A305"/>
      <c r="B305">
        <v>11252</v>
      </c>
      <c r="C305" t="s">
        <v>352</v>
      </c>
      <c r="D305" t="s">
        <v>47</v>
      </c>
      <c r="E305" t="s">
        <v>436</v>
      </c>
      <c r="F305" t="s">
        <v>101</v>
      </c>
      <c r="G305">
        <v>14474.17</v>
      </c>
      <c r="H305" t="s">
        <v>451</v>
      </c>
      <c r="I305">
        <v>0</v>
      </c>
      <c r="J305">
        <v>0</v>
      </c>
      <c r="K305">
        <v>0</v>
      </c>
      <c r="L305">
        <v>0</v>
      </c>
      <c r="M305" t="s">
        <v>101</v>
      </c>
      <c r="N305">
        <v>14474.17</v>
      </c>
      <c r="O305" t="s">
        <v>451</v>
      </c>
      <c r="P305" t="b">
        <v>1</v>
      </c>
      <c r="Q305">
        <v>14474.162762920427</v>
      </c>
      <c r="R305">
        <v>500</v>
      </c>
      <c r="S305">
        <v>15.474162762920427</v>
      </c>
      <c r="T305">
        <v>0</v>
      </c>
      <c r="U305">
        <v>0</v>
      </c>
      <c r="V305">
        <v>0</v>
      </c>
    </row>
    <row r="306" spans="1:22" x14ac:dyDescent="0.25">
      <c r="A306"/>
      <c r="B306">
        <v>11253</v>
      </c>
      <c r="C306" t="s">
        <v>353</v>
      </c>
      <c r="D306" t="s">
        <v>47</v>
      </c>
      <c r="E306" t="s">
        <v>436</v>
      </c>
      <c r="F306" t="s">
        <v>101</v>
      </c>
      <c r="G306">
        <v>14509.27</v>
      </c>
      <c r="H306" t="s">
        <v>451</v>
      </c>
      <c r="I306">
        <v>0</v>
      </c>
      <c r="J306">
        <v>0</v>
      </c>
      <c r="K306">
        <v>0</v>
      </c>
      <c r="L306">
        <v>0</v>
      </c>
      <c r="M306" t="s">
        <v>101</v>
      </c>
      <c r="N306">
        <v>14509.27</v>
      </c>
      <c r="O306" t="s">
        <v>451</v>
      </c>
      <c r="P306" t="b">
        <v>1</v>
      </c>
      <c r="Q306">
        <v>14509.262745370441</v>
      </c>
      <c r="R306">
        <v>500</v>
      </c>
      <c r="S306">
        <v>15.509262745370441</v>
      </c>
      <c r="T306">
        <v>0</v>
      </c>
      <c r="U306">
        <v>0</v>
      </c>
      <c r="V306">
        <v>0</v>
      </c>
    </row>
    <row r="307" spans="1:22" x14ac:dyDescent="0.25">
      <c r="A307"/>
      <c r="B307">
        <v>11254</v>
      </c>
      <c r="C307" t="s">
        <v>354</v>
      </c>
      <c r="D307" t="s">
        <v>47</v>
      </c>
      <c r="E307" t="s">
        <v>436</v>
      </c>
      <c r="F307" t="s">
        <v>101</v>
      </c>
      <c r="G307">
        <v>14512.27</v>
      </c>
      <c r="H307" t="s">
        <v>451</v>
      </c>
      <c r="I307">
        <v>0</v>
      </c>
      <c r="J307">
        <v>0</v>
      </c>
      <c r="K307">
        <v>0</v>
      </c>
      <c r="L307">
        <v>0</v>
      </c>
      <c r="M307" t="s">
        <v>101</v>
      </c>
      <c r="N307">
        <v>14512.27</v>
      </c>
      <c r="O307" t="s">
        <v>451</v>
      </c>
      <c r="P307" t="b">
        <v>1</v>
      </c>
      <c r="Q307">
        <v>14512.262743870442</v>
      </c>
      <c r="R307">
        <v>500</v>
      </c>
      <c r="S307">
        <v>15.512262743870441</v>
      </c>
      <c r="T307">
        <v>0</v>
      </c>
      <c r="U307">
        <v>0</v>
      </c>
      <c r="V307">
        <v>0</v>
      </c>
    </row>
    <row r="308" spans="1:22" x14ac:dyDescent="0.25">
      <c r="A308"/>
      <c r="B308">
        <v>11255</v>
      </c>
      <c r="C308" t="s">
        <v>355</v>
      </c>
      <c r="D308" t="s">
        <v>47</v>
      </c>
      <c r="E308" t="s">
        <v>436</v>
      </c>
      <c r="F308" t="s">
        <v>101</v>
      </c>
      <c r="G308">
        <v>14532.19</v>
      </c>
      <c r="H308" t="s">
        <v>451</v>
      </c>
      <c r="I308">
        <v>0</v>
      </c>
      <c r="J308">
        <v>0</v>
      </c>
      <c r="K308">
        <v>0</v>
      </c>
      <c r="L308">
        <v>0</v>
      </c>
      <c r="M308" t="s">
        <v>101</v>
      </c>
      <c r="N308">
        <v>14532.19</v>
      </c>
      <c r="O308" t="s">
        <v>451</v>
      </c>
      <c r="P308" t="b">
        <v>1</v>
      </c>
      <c r="Q308">
        <v>14532.182733910449</v>
      </c>
      <c r="R308">
        <v>500</v>
      </c>
      <c r="S308">
        <v>15.532182733910449</v>
      </c>
      <c r="T308">
        <v>0</v>
      </c>
      <c r="U308">
        <v>0</v>
      </c>
      <c r="V308">
        <v>0</v>
      </c>
    </row>
    <row r="309" spans="1:22" x14ac:dyDescent="0.25">
      <c r="A309"/>
      <c r="B309">
        <v>11256</v>
      </c>
      <c r="C309" t="s">
        <v>356</v>
      </c>
      <c r="D309" t="s">
        <v>47</v>
      </c>
      <c r="E309" t="s">
        <v>436</v>
      </c>
      <c r="F309" t="s">
        <v>101</v>
      </c>
      <c r="G309">
        <v>14535.19</v>
      </c>
      <c r="H309" t="s">
        <v>451</v>
      </c>
      <c r="I309">
        <v>0</v>
      </c>
      <c r="J309">
        <v>0</v>
      </c>
      <c r="K309">
        <v>0</v>
      </c>
      <c r="L309">
        <v>0</v>
      </c>
      <c r="M309" t="s">
        <v>101</v>
      </c>
      <c r="N309">
        <v>14535.19</v>
      </c>
      <c r="O309" t="s">
        <v>451</v>
      </c>
      <c r="P309" t="b">
        <v>1</v>
      </c>
      <c r="Q309">
        <v>14535.182732410451</v>
      </c>
      <c r="R309">
        <v>500</v>
      </c>
      <c r="S309">
        <v>15.535182732410451</v>
      </c>
      <c r="T309">
        <v>0</v>
      </c>
      <c r="U309">
        <v>0</v>
      </c>
      <c r="V309">
        <v>0</v>
      </c>
    </row>
    <row r="310" spans="1:22" x14ac:dyDescent="0.25">
      <c r="A310"/>
      <c r="B310">
        <v>11257</v>
      </c>
      <c r="C310" t="s">
        <v>357</v>
      </c>
      <c r="D310" t="s">
        <v>47</v>
      </c>
      <c r="E310" t="s">
        <v>436</v>
      </c>
      <c r="F310" t="s">
        <v>101</v>
      </c>
      <c r="G310">
        <v>14587.61</v>
      </c>
      <c r="H310" t="s">
        <v>451</v>
      </c>
      <c r="I310">
        <v>0</v>
      </c>
      <c r="J310">
        <v>0</v>
      </c>
      <c r="K310">
        <v>0</v>
      </c>
      <c r="L310">
        <v>0</v>
      </c>
      <c r="M310" t="s">
        <v>101</v>
      </c>
      <c r="N310">
        <v>14587.61</v>
      </c>
      <c r="O310" t="s">
        <v>451</v>
      </c>
      <c r="P310" t="b">
        <v>1</v>
      </c>
      <c r="Q310">
        <v>14587.60270620047</v>
      </c>
      <c r="R310">
        <v>500</v>
      </c>
      <c r="S310">
        <v>15.587602706200471</v>
      </c>
      <c r="T310">
        <v>0</v>
      </c>
      <c r="U310">
        <v>0</v>
      </c>
      <c r="V310">
        <v>0</v>
      </c>
    </row>
    <row r="311" spans="1:22" x14ac:dyDescent="0.25">
      <c r="A311"/>
      <c r="B311">
        <v>11258</v>
      </c>
      <c r="C311" t="s">
        <v>358</v>
      </c>
      <c r="D311" t="s">
        <v>47</v>
      </c>
      <c r="E311" t="s">
        <v>436</v>
      </c>
      <c r="F311" t="s">
        <v>101</v>
      </c>
      <c r="G311">
        <v>14667</v>
      </c>
      <c r="H311" t="s">
        <v>451</v>
      </c>
      <c r="I311">
        <v>0</v>
      </c>
      <c r="J311">
        <v>0</v>
      </c>
      <c r="K311">
        <v>0</v>
      </c>
      <c r="L311">
        <v>0</v>
      </c>
      <c r="M311" t="s">
        <v>101</v>
      </c>
      <c r="N311">
        <v>14667</v>
      </c>
      <c r="O311" t="s">
        <v>451</v>
      </c>
      <c r="P311" t="b">
        <v>1</v>
      </c>
      <c r="Q311">
        <v>14666.992666505499</v>
      </c>
      <c r="R311">
        <v>500</v>
      </c>
      <c r="S311">
        <v>15.6669926665055</v>
      </c>
      <c r="T311">
        <v>0</v>
      </c>
      <c r="U311">
        <v>0</v>
      </c>
      <c r="V311">
        <v>0</v>
      </c>
    </row>
    <row r="312" spans="1:22" x14ac:dyDescent="0.25">
      <c r="A312"/>
      <c r="B312">
        <v>11259</v>
      </c>
      <c r="C312" t="s">
        <v>359</v>
      </c>
      <c r="D312" t="s">
        <v>47</v>
      </c>
      <c r="E312" t="s">
        <v>436</v>
      </c>
      <c r="F312" t="s">
        <v>101</v>
      </c>
      <c r="G312">
        <v>14688</v>
      </c>
      <c r="H312" t="s">
        <v>451</v>
      </c>
      <c r="I312">
        <v>0</v>
      </c>
      <c r="J312">
        <v>0</v>
      </c>
      <c r="K312">
        <v>0</v>
      </c>
      <c r="L312">
        <v>0</v>
      </c>
      <c r="M312" t="s">
        <v>101</v>
      </c>
      <c r="N312">
        <v>14688</v>
      </c>
      <c r="O312" t="s">
        <v>451</v>
      </c>
      <c r="P312" t="b">
        <v>1</v>
      </c>
      <c r="Q312">
        <v>14687.992656005506</v>
      </c>
      <c r="R312">
        <v>500</v>
      </c>
      <c r="S312">
        <v>15.687992656005507</v>
      </c>
      <c r="T312">
        <v>0</v>
      </c>
      <c r="U312">
        <v>0</v>
      </c>
      <c r="V312">
        <v>0</v>
      </c>
    </row>
    <row r="313" spans="1:22" x14ac:dyDescent="0.25">
      <c r="A313"/>
      <c r="B313">
        <v>11260</v>
      </c>
      <c r="C313" t="s">
        <v>360</v>
      </c>
      <c r="D313" t="s">
        <v>47</v>
      </c>
      <c r="E313" t="s">
        <v>436</v>
      </c>
      <c r="F313" t="s">
        <v>101</v>
      </c>
      <c r="G313">
        <v>14808</v>
      </c>
      <c r="H313" t="s">
        <v>451</v>
      </c>
      <c r="I313">
        <v>0</v>
      </c>
      <c r="J313">
        <v>0</v>
      </c>
      <c r="K313">
        <v>0</v>
      </c>
      <c r="L313">
        <v>0</v>
      </c>
      <c r="M313" t="s">
        <v>101</v>
      </c>
      <c r="N313">
        <v>14808</v>
      </c>
      <c r="O313" t="s">
        <v>451</v>
      </c>
      <c r="P313" t="b">
        <v>1</v>
      </c>
      <c r="Q313">
        <v>14807.992596005552</v>
      </c>
      <c r="R313">
        <v>500</v>
      </c>
      <c r="S313">
        <v>15.807992596005551</v>
      </c>
      <c r="T313">
        <v>0</v>
      </c>
      <c r="U313">
        <v>0</v>
      </c>
      <c r="V313">
        <v>0</v>
      </c>
    </row>
    <row r="314" spans="1:22" x14ac:dyDescent="0.25">
      <c r="A314"/>
      <c r="B314">
        <v>11261</v>
      </c>
      <c r="C314" t="s">
        <v>361</v>
      </c>
      <c r="D314" t="s">
        <v>47</v>
      </c>
      <c r="E314" t="s">
        <v>436</v>
      </c>
      <c r="F314" t="s">
        <v>101</v>
      </c>
      <c r="G314">
        <v>14920</v>
      </c>
      <c r="H314" t="s">
        <v>451</v>
      </c>
      <c r="I314">
        <v>0</v>
      </c>
      <c r="J314">
        <v>0</v>
      </c>
      <c r="K314">
        <v>0</v>
      </c>
      <c r="L314">
        <v>0</v>
      </c>
      <c r="M314" t="s">
        <v>101</v>
      </c>
      <c r="N314">
        <v>14920</v>
      </c>
      <c r="O314" t="s">
        <v>451</v>
      </c>
      <c r="P314" t="b">
        <v>1</v>
      </c>
      <c r="Q314">
        <v>14919.992540005594</v>
      </c>
      <c r="R314">
        <v>500</v>
      </c>
      <c r="S314">
        <v>15.919992540005595</v>
      </c>
      <c r="T314">
        <v>0</v>
      </c>
      <c r="U314">
        <v>0</v>
      </c>
      <c r="V314">
        <v>0</v>
      </c>
    </row>
    <row r="315" spans="1:22" x14ac:dyDescent="0.25">
      <c r="A315"/>
      <c r="B315">
        <v>11262</v>
      </c>
      <c r="C315" t="s">
        <v>362</v>
      </c>
      <c r="D315" t="s">
        <v>47</v>
      </c>
      <c r="E315" t="s">
        <v>436</v>
      </c>
      <c r="F315" t="s">
        <v>101</v>
      </c>
      <c r="G315">
        <v>15040</v>
      </c>
      <c r="H315" t="s">
        <v>451</v>
      </c>
      <c r="I315">
        <v>0</v>
      </c>
      <c r="J315">
        <v>0</v>
      </c>
      <c r="K315">
        <v>0</v>
      </c>
      <c r="L315">
        <v>0</v>
      </c>
      <c r="M315" t="s">
        <v>101</v>
      </c>
      <c r="N315">
        <v>15040</v>
      </c>
      <c r="O315" t="s">
        <v>451</v>
      </c>
      <c r="P315" t="b">
        <v>1</v>
      </c>
      <c r="Q315">
        <v>15039.99248000564</v>
      </c>
      <c r="R315">
        <v>500</v>
      </c>
      <c r="S315">
        <v>16.03999248000564</v>
      </c>
      <c r="T315">
        <v>0</v>
      </c>
      <c r="U315">
        <v>0</v>
      </c>
      <c r="V315">
        <v>0</v>
      </c>
    </row>
    <row r="316" spans="1:22" x14ac:dyDescent="0.25">
      <c r="A316"/>
      <c r="B316">
        <v>11263</v>
      </c>
      <c r="C316" t="s">
        <v>363</v>
      </c>
      <c r="D316" t="s">
        <v>47</v>
      </c>
      <c r="E316" t="s">
        <v>436</v>
      </c>
      <c r="F316" t="s">
        <v>101</v>
      </c>
      <c r="G316">
        <v>15061</v>
      </c>
      <c r="H316" t="s">
        <v>451</v>
      </c>
      <c r="I316">
        <v>0</v>
      </c>
      <c r="J316">
        <v>0</v>
      </c>
      <c r="K316">
        <v>0</v>
      </c>
      <c r="L316">
        <v>0</v>
      </c>
      <c r="M316" t="s">
        <v>101</v>
      </c>
      <c r="N316">
        <v>15061</v>
      </c>
      <c r="O316" t="s">
        <v>451</v>
      </c>
      <c r="P316" t="b">
        <v>1</v>
      </c>
      <c r="Q316">
        <v>15060.992469505647</v>
      </c>
      <c r="R316">
        <v>500</v>
      </c>
      <c r="S316">
        <v>16.060992469505646</v>
      </c>
      <c r="T316">
        <v>0</v>
      </c>
      <c r="U316">
        <v>0</v>
      </c>
      <c r="V316">
        <v>0</v>
      </c>
    </row>
    <row r="317" spans="1:22" x14ac:dyDescent="0.25">
      <c r="A317"/>
      <c r="B317">
        <v>11264</v>
      </c>
      <c r="C317" t="s">
        <v>364</v>
      </c>
      <c r="D317" t="s">
        <v>47</v>
      </c>
      <c r="E317" t="s">
        <v>436</v>
      </c>
      <c r="F317" t="s">
        <v>101</v>
      </c>
      <c r="G317">
        <v>15153.4099999999</v>
      </c>
      <c r="H317" t="s">
        <v>451</v>
      </c>
      <c r="I317">
        <v>0</v>
      </c>
      <c r="J317">
        <v>0</v>
      </c>
      <c r="K317">
        <v>0</v>
      </c>
      <c r="L317">
        <v>0</v>
      </c>
      <c r="M317" t="s">
        <v>101</v>
      </c>
      <c r="N317">
        <v>15153.4099999999</v>
      </c>
      <c r="O317" t="s">
        <v>451</v>
      </c>
      <c r="P317" t="b">
        <v>1</v>
      </c>
      <c r="Q317">
        <v>15153.402423300582</v>
      </c>
      <c r="R317">
        <v>500</v>
      </c>
      <c r="S317">
        <v>16.15340242330058</v>
      </c>
      <c r="T317">
        <v>0</v>
      </c>
      <c r="U317">
        <v>0</v>
      </c>
      <c r="V317">
        <v>0</v>
      </c>
    </row>
    <row r="318" spans="1:22" x14ac:dyDescent="0.25">
      <c r="A318"/>
      <c r="B318">
        <v>11265</v>
      </c>
      <c r="C318" t="s">
        <v>365</v>
      </c>
      <c r="D318" t="s">
        <v>47</v>
      </c>
      <c r="E318" t="s">
        <v>436</v>
      </c>
      <c r="F318" t="s">
        <v>101</v>
      </c>
      <c r="G318">
        <v>15303.4099999999</v>
      </c>
      <c r="H318" t="s">
        <v>451</v>
      </c>
      <c r="I318">
        <v>0</v>
      </c>
      <c r="J318">
        <v>0</v>
      </c>
      <c r="K318">
        <v>0</v>
      </c>
      <c r="L318">
        <v>0</v>
      </c>
      <c r="M318" t="s">
        <v>101</v>
      </c>
      <c r="N318">
        <v>15303.4099999999</v>
      </c>
      <c r="O318" t="s">
        <v>451</v>
      </c>
      <c r="P318" t="b">
        <v>1</v>
      </c>
      <c r="Q318">
        <v>15303.402348300639</v>
      </c>
      <c r="R318">
        <v>500</v>
      </c>
      <c r="S318">
        <v>16.303402348300637</v>
      </c>
      <c r="T318">
        <v>0</v>
      </c>
      <c r="U318">
        <v>0</v>
      </c>
      <c r="V318">
        <v>0</v>
      </c>
    </row>
    <row r="319" spans="1:22" x14ac:dyDescent="0.25">
      <c r="A319"/>
      <c r="B319">
        <v>11266</v>
      </c>
      <c r="C319" t="s">
        <v>366</v>
      </c>
      <c r="D319" t="s">
        <v>47</v>
      </c>
      <c r="E319" t="s">
        <v>436</v>
      </c>
      <c r="F319" t="s">
        <v>101</v>
      </c>
      <c r="G319">
        <v>15379.469999999899</v>
      </c>
      <c r="H319" t="s">
        <v>451</v>
      </c>
      <c r="I319">
        <v>0</v>
      </c>
      <c r="J319">
        <v>0</v>
      </c>
      <c r="K319">
        <v>0</v>
      </c>
      <c r="L319">
        <v>0</v>
      </c>
      <c r="M319" t="s">
        <v>101</v>
      </c>
      <c r="N319">
        <v>15379.469999999899</v>
      </c>
      <c r="O319" t="s">
        <v>451</v>
      </c>
      <c r="P319" t="b">
        <v>1</v>
      </c>
      <c r="Q319">
        <v>15379.462310270666</v>
      </c>
      <c r="R319">
        <v>500</v>
      </c>
      <c r="S319">
        <v>16.379462310270664</v>
      </c>
      <c r="T319">
        <v>0</v>
      </c>
      <c r="U319">
        <v>0</v>
      </c>
      <c r="V319">
        <v>0</v>
      </c>
    </row>
    <row r="320" spans="1:22" x14ac:dyDescent="0.25">
      <c r="A320"/>
      <c r="B320">
        <v>11267</v>
      </c>
      <c r="C320" t="s">
        <v>367</v>
      </c>
      <c r="D320" t="s">
        <v>47</v>
      </c>
      <c r="E320" t="s">
        <v>436</v>
      </c>
      <c r="F320" t="s">
        <v>101</v>
      </c>
      <c r="G320">
        <v>15394.3299999999</v>
      </c>
      <c r="H320" t="s">
        <v>451</v>
      </c>
      <c r="I320">
        <v>0</v>
      </c>
      <c r="J320">
        <v>0</v>
      </c>
      <c r="K320">
        <v>0</v>
      </c>
      <c r="L320">
        <v>0</v>
      </c>
      <c r="M320" t="s">
        <v>101</v>
      </c>
      <c r="N320">
        <v>15394.3299999999</v>
      </c>
      <c r="O320" t="s">
        <v>451</v>
      </c>
      <c r="P320" t="b">
        <v>1</v>
      </c>
      <c r="Q320">
        <v>15394.322302840672</v>
      </c>
      <c r="R320">
        <v>500</v>
      </c>
      <c r="S320">
        <v>16.394322302840671</v>
      </c>
      <c r="T320">
        <v>0</v>
      </c>
      <c r="U320">
        <v>0</v>
      </c>
      <c r="V320">
        <v>0</v>
      </c>
    </row>
    <row r="321" spans="1:22" x14ac:dyDescent="0.25">
      <c r="A321"/>
      <c r="B321">
        <v>11268</v>
      </c>
      <c r="C321" t="s">
        <v>368</v>
      </c>
      <c r="D321" t="s">
        <v>47</v>
      </c>
      <c r="E321" t="s">
        <v>436</v>
      </c>
      <c r="F321" t="s">
        <v>101</v>
      </c>
      <c r="G321">
        <v>15397.3299999999</v>
      </c>
      <c r="H321" t="s">
        <v>451</v>
      </c>
      <c r="I321">
        <v>0</v>
      </c>
      <c r="J321">
        <v>0</v>
      </c>
      <c r="K321">
        <v>0</v>
      </c>
      <c r="L321">
        <v>0</v>
      </c>
      <c r="M321" t="s">
        <v>101</v>
      </c>
      <c r="N321">
        <v>15397.3299999999</v>
      </c>
      <c r="O321" t="s">
        <v>451</v>
      </c>
      <c r="P321" t="b">
        <v>1</v>
      </c>
      <c r="Q321">
        <v>15397.322301340673</v>
      </c>
      <c r="R321">
        <v>500</v>
      </c>
      <c r="S321">
        <v>16.397322301340672</v>
      </c>
      <c r="T321">
        <v>0</v>
      </c>
      <c r="U321">
        <v>0</v>
      </c>
      <c r="V321">
        <v>0</v>
      </c>
    </row>
    <row r="322" spans="1:22" x14ac:dyDescent="0.25">
      <c r="A322"/>
      <c r="B322">
        <v>11269</v>
      </c>
      <c r="C322" t="s">
        <v>369</v>
      </c>
      <c r="D322" t="s">
        <v>47</v>
      </c>
      <c r="E322" t="s">
        <v>436</v>
      </c>
      <c r="F322" t="s">
        <v>101</v>
      </c>
      <c r="G322">
        <v>15417.25</v>
      </c>
      <c r="H322" t="s">
        <v>451</v>
      </c>
      <c r="I322">
        <v>0</v>
      </c>
      <c r="J322">
        <v>0</v>
      </c>
      <c r="K322">
        <v>0</v>
      </c>
      <c r="L322">
        <v>0</v>
      </c>
      <c r="M322" t="s">
        <v>101</v>
      </c>
      <c r="N322">
        <v>15417.25</v>
      </c>
      <c r="O322" t="s">
        <v>451</v>
      </c>
      <c r="P322" t="b">
        <v>1</v>
      </c>
      <c r="Q322">
        <v>15417.242291380782</v>
      </c>
      <c r="R322">
        <v>500</v>
      </c>
      <c r="S322">
        <v>16.417242291380781</v>
      </c>
      <c r="T322">
        <v>0</v>
      </c>
      <c r="U322">
        <v>0</v>
      </c>
      <c r="V322">
        <v>0</v>
      </c>
    </row>
    <row r="323" spans="1:22" x14ac:dyDescent="0.25">
      <c r="A323"/>
      <c r="B323">
        <v>11270</v>
      </c>
      <c r="C323" t="s">
        <v>370</v>
      </c>
      <c r="D323" t="s">
        <v>47</v>
      </c>
      <c r="E323" t="s">
        <v>436</v>
      </c>
      <c r="F323" t="s">
        <v>101</v>
      </c>
      <c r="G323">
        <v>15420.25</v>
      </c>
      <c r="H323" t="s">
        <v>451</v>
      </c>
      <c r="I323">
        <v>0</v>
      </c>
      <c r="J323">
        <v>0</v>
      </c>
      <c r="K323">
        <v>0</v>
      </c>
      <c r="L323">
        <v>0</v>
      </c>
      <c r="M323" t="s">
        <v>101</v>
      </c>
      <c r="N323">
        <v>15420.25</v>
      </c>
      <c r="O323" t="s">
        <v>451</v>
      </c>
      <c r="P323" t="b">
        <v>1</v>
      </c>
      <c r="Q323">
        <v>15420.242289880782</v>
      </c>
      <c r="R323">
        <v>500</v>
      </c>
      <c r="S323">
        <v>16.420242289880782</v>
      </c>
      <c r="T323">
        <v>0</v>
      </c>
      <c r="U323">
        <v>0</v>
      </c>
      <c r="V323">
        <v>0</v>
      </c>
    </row>
    <row r="324" spans="1:22" x14ac:dyDescent="0.25">
      <c r="A324"/>
      <c r="B324">
        <v>11271</v>
      </c>
      <c r="C324" t="s">
        <v>371</v>
      </c>
      <c r="D324" t="s">
        <v>47</v>
      </c>
      <c r="E324" t="s">
        <v>436</v>
      </c>
      <c r="F324" t="s">
        <v>101</v>
      </c>
      <c r="G324">
        <v>15478.27</v>
      </c>
      <c r="H324" t="s">
        <v>451</v>
      </c>
      <c r="I324">
        <v>0</v>
      </c>
      <c r="J324">
        <v>0</v>
      </c>
      <c r="K324">
        <v>0</v>
      </c>
      <c r="L324">
        <v>0</v>
      </c>
      <c r="M324" t="s">
        <v>101</v>
      </c>
      <c r="N324">
        <v>15478.27</v>
      </c>
      <c r="O324" t="s">
        <v>451</v>
      </c>
      <c r="P324" t="b">
        <v>1</v>
      </c>
      <c r="Q324">
        <v>15478.262260870804</v>
      </c>
      <c r="R324">
        <v>500</v>
      </c>
      <c r="S324">
        <v>16.478262260870803</v>
      </c>
      <c r="T324">
        <v>0</v>
      </c>
      <c r="U324">
        <v>0</v>
      </c>
      <c r="V324">
        <v>0</v>
      </c>
    </row>
    <row r="325" spans="1:22" x14ac:dyDescent="0.25">
      <c r="A325"/>
      <c r="B325">
        <v>11272</v>
      </c>
      <c r="C325" t="s">
        <v>372</v>
      </c>
      <c r="D325" t="s">
        <v>47</v>
      </c>
      <c r="E325" t="s">
        <v>436</v>
      </c>
      <c r="F325" t="s">
        <v>101</v>
      </c>
      <c r="G325">
        <v>15513.37</v>
      </c>
      <c r="H325" t="s">
        <v>451</v>
      </c>
      <c r="I325">
        <v>0</v>
      </c>
      <c r="J325">
        <v>0</v>
      </c>
      <c r="K325">
        <v>0</v>
      </c>
      <c r="L325">
        <v>0</v>
      </c>
      <c r="M325" t="s">
        <v>101</v>
      </c>
      <c r="N325">
        <v>15513.37</v>
      </c>
      <c r="O325" t="s">
        <v>451</v>
      </c>
      <c r="P325" t="b">
        <v>1</v>
      </c>
      <c r="Q325">
        <v>15513.362243320818</v>
      </c>
      <c r="R325">
        <v>500</v>
      </c>
      <c r="S325">
        <v>16.513362243320817</v>
      </c>
      <c r="T325">
        <v>0</v>
      </c>
      <c r="U325">
        <v>0</v>
      </c>
      <c r="V325">
        <v>0</v>
      </c>
    </row>
    <row r="326" spans="1:22" x14ac:dyDescent="0.25">
      <c r="A326"/>
      <c r="B326">
        <v>11273</v>
      </c>
      <c r="C326" t="s">
        <v>373</v>
      </c>
      <c r="D326" t="s">
        <v>47</v>
      </c>
      <c r="E326" t="s">
        <v>436</v>
      </c>
      <c r="F326" t="s">
        <v>101</v>
      </c>
      <c r="G326">
        <v>15516.37</v>
      </c>
      <c r="H326" t="s">
        <v>451</v>
      </c>
      <c r="I326">
        <v>0</v>
      </c>
      <c r="J326">
        <v>0</v>
      </c>
      <c r="K326">
        <v>0</v>
      </c>
      <c r="L326">
        <v>0</v>
      </c>
      <c r="M326" t="s">
        <v>101</v>
      </c>
      <c r="N326">
        <v>15516.37</v>
      </c>
      <c r="O326" t="s">
        <v>451</v>
      </c>
      <c r="P326" t="b">
        <v>1</v>
      </c>
      <c r="Q326">
        <v>15516.362241820818</v>
      </c>
      <c r="R326">
        <v>500</v>
      </c>
      <c r="S326">
        <v>16.516362241820818</v>
      </c>
      <c r="T326">
        <v>0</v>
      </c>
      <c r="U326">
        <v>0</v>
      </c>
      <c r="V326">
        <v>0</v>
      </c>
    </row>
    <row r="327" spans="1:22" x14ac:dyDescent="0.25">
      <c r="A327"/>
      <c r="B327">
        <v>11274</v>
      </c>
      <c r="C327" t="s">
        <v>374</v>
      </c>
      <c r="D327" t="s">
        <v>47</v>
      </c>
      <c r="E327" t="s">
        <v>436</v>
      </c>
      <c r="F327" t="s">
        <v>101</v>
      </c>
      <c r="G327">
        <v>15536.29</v>
      </c>
      <c r="H327" t="s">
        <v>451</v>
      </c>
      <c r="I327">
        <v>0</v>
      </c>
      <c r="J327">
        <v>0</v>
      </c>
      <c r="K327">
        <v>0</v>
      </c>
      <c r="L327">
        <v>0</v>
      </c>
      <c r="M327" t="s">
        <v>101</v>
      </c>
      <c r="N327">
        <v>15536.29</v>
      </c>
      <c r="O327" t="s">
        <v>451</v>
      </c>
      <c r="P327" t="b">
        <v>1</v>
      </c>
      <c r="Q327">
        <v>15536.282231860827</v>
      </c>
      <c r="R327">
        <v>500</v>
      </c>
      <c r="S327">
        <v>16.536282231860824</v>
      </c>
      <c r="T327">
        <v>0</v>
      </c>
      <c r="U327">
        <v>0</v>
      </c>
      <c r="V327">
        <v>0</v>
      </c>
    </row>
    <row r="328" spans="1:22" x14ac:dyDescent="0.25">
      <c r="A328"/>
      <c r="B328">
        <v>11275</v>
      </c>
      <c r="C328" t="s">
        <v>375</v>
      </c>
      <c r="D328" t="s">
        <v>47</v>
      </c>
      <c r="E328" t="s">
        <v>436</v>
      </c>
      <c r="F328" t="s">
        <v>101</v>
      </c>
      <c r="G328">
        <v>15539.29</v>
      </c>
      <c r="H328" t="s">
        <v>451</v>
      </c>
      <c r="I328">
        <v>0</v>
      </c>
      <c r="J328">
        <v>0</v>
      </c>
      <c r="K328">
        <v>0</v>
      </c>
      <c r="L328">
        <v>0</v>
      </c>
      <c r="M328" t="s">
        <v>101</v>
      </c>
      <c r="N328">
        <v>15539.29</v>
      </c>
      <c r="O328" t="s">
        <v>451</v>
      </c>
      <c r="P328" t="b">
        <v>1</v>
      </c>
      <c r="Q328">
        <v>15539.282230360826</v>
      </c>
      <c r="R328">
        <v>500</v>
      </c>
      <c r="S328">
        <v>16.539282230360826</v>
      </c>
      <c r="T328">
        <v>0</v>
      </c>
      <c r="U328">
        <v>0</v>
      </c>
      <c r="V328">
        <v>0</v>
      </c>
    </row>
    <row r="329" spans="1:22" x14ac:dyDescent="0.25">
      <c r="A329"/>
      <c r="B329">
        <v>11276</v>
      </c>
      <c r="C329" t="s">
        <v>376</v>
      </c>
      <c r="D329" t="s">
        <v>47</v>
      </c>
      <c r="E329" t="s">
        <v>436</v>
      </c>
      <c r="F329" t="s">
        <v>101</v>
      </c>
      <c r="G329">
        <v>15591.709999999901</v>
      </c>
      <c r="H329" t="s">
        <v>451</v>
      </c>
      <c r="I329">
        <v>0</v>
      </c>
      <c r="J329">
        <v>0</v>
      </c>
      <c r="K329">
        <v>0</v>
      </c>
      <c r="L329">
        <v>0</v>
      </c>
      <c r="M329" t="s">
        <v>101</v>
      </c>
      <c r="N329">
        <v>15591.709999999901</v>
      </c>
      <c r="O329" t="s">
        <v>451</v>
      </c>
      <c r="P329" t="b">
        <v>1</v>
      </c>
      <c r="Q329">
        <v>15591.702204150748</v>
      </c>
      <c r="R329">
        <v>500</v>
      </c>
      <c r="S329">
        <v>16.591702204150746</v>
      </c>
      <c r="T329">
        <v>0</v>
      </c>
      <c r="U329">
        <v>0</v>
      </c>
      <c r="V329">
        <v>0</v>
      </c>
    </row>
    <row r="330" spans="1:22" x14ac:dyDescent="0.25">
      <c r="A330"/>
      <c r="B330">
        <v>11277</v>
      </c>
      <c r="C330" t="s">
        <v>377</v>
      </c>
      <c r="D330" t="s">
        <v>47</v>
      </c>
      <c r="E330" t="s">
        <v>436</v>
      </c>
      <c r="F330" t="s">
        <v>101</v>
      </c>
      <c r="G330">
        <v>15641.67</v>
      </c>
      <c r="H330" t="s">
        <v>451</v>
      </c>
      <c r="I330">
        <v>0</v>
      </c>
      <c r="J330">
        <v>0</v>
      </c>
      <c r="K330">
        <v>0</v>
      </c>
      <c r="L330">
        <v>0</v>
      </c>
      <c r="M330" t="s">
        <v>101</v>
      </c>
      <c r="N330">
        <v>15641.67</v>
      </c>
      <c r="O330" t="s">
        <v>451</v>
      </c>
      <c r="P330" t="b">
        <v>1</v>
      </c>
      <c r="Q330">
        <v>15641.662179170864</v>
      </c>
      <c r="R330">
        <v>500</v>
      </c>
      <c r="S330">
        <v>16.641662179170865</v>
      </c>
      <c r="T330">
        <v>0</v>
      </c>
      <c r="U330">
        <v>0</v>
      </c>
      <c r="V330">
        <v>0</v>
      </c>
    </row>
    <row r="331" spans="1:22" x14ac:dyDescent="0.25">
      <c r="A331"/>
      <c r="B331">
        <v>11278</v>
      </c>
      <c r="C331" t="s">
        <v>378</v>
      </c>
      <c r="D331" t="s">
        <v>47</v>
      </c>
      <c r="E331" t="s">
        <v>436</v>
      </c>
      <c r="F331" t="s">
        <v>101</v>
      </c>
      <c r="G331">
        <v>15791.67</v>
      </c>
      <c r="H331" t="s">
        <v>451</v>
      </c>
      <c r="I331">
        <v>0</v>
      </c>
      <c r="J331">
        <v>0</v>
      </c>
      <c r="K331">
        <v>0</v>
      </c>
      <c r="L331">
        <v>0</v>
      </c>
      <c r="M331" t="s">
        <v>101</v>
      </c>
      <c r="N331">
        <v>15791.67</v>
      </c>
      <c r="O331" t="s">
        <v>451</v>
      </c>
      <c r="P331" t="b">
        <v>1</v>
      </c>
      <c r="Q331">
        <v>15791.662104170922</v>
      </c>
      <c r="R331">
        <v>500</v>
      </c>
      <c r="S331">
        <v>16.791662104170921</v>
      </c>
      <c r="T331">
        <v>0</v>
      </c>
      <c r="U331">
        <v>0</v>
      </c>
      <c r="V331">
        <v>0</v>
      </c>
    </row>
    <row r="332" spans="1:22" x14ac:dyDescent="0.25">
      <c r="A332"/>
      <c r="B332">
        <v>11279</v>
      </c>
      <c r="C332" t="s">
        <v>379</v>
      </c>
      <c r="D332" t="s">
        <v>47</v>
      </c>
      <c r="E332" t="s">
        <v>436</v>
      </c>
      <c r="F332" t="s">
        <v>101</v>
      </c>
      <c r="G332">
        <v>15865</v>
      </c>
      <c r="H332" t="s">
        <v>451</v>
      </c>
      <c r="I332">
        <v>0</v>
      </c>
      <c r="J332">
        <v>0</v>
      </c>
      <c r="K332">
        <v>0</v>
      </c>
      <c r="L332">
        <v>0</v>
      </c>
      <c r="M332" t="s">
        <v>101</v>
      </c>
      <c r="N332">
        <v>15865</v>
      </c>
      <c r="O332" t="s">
        <v>451</v>
      </c>
      <c r="P332" t="b">
        <v>1</v>
      </c>
      <c r="Q332">
        <v>15864.992067505949</v>
      </c>
      <c r="R332">
        <v>500</v>
      </c>
      <c r="S332">
        <v>16.864992067505948</v>
      </c>
      <c r="T332">
        <v>0</v>
      </c>
      <c r="U332">
        <v>0</v>
      </c>
      <c r="V332">
        <v>0</v>
      </c>
    </row>
    <row r="333" spans="1:22" x14ac:dyDescent="0.25">
      <c r="A333"/>
      <c r="B333">
        <v>11280</v>
      </c>
      <c r="C333" t="s">
        <v>380</v>
      </c>
      <c r="D333" t="s">
        <v>47</v>
      </c>
      <c r="E333" t="s">
        <v>436</v>
      </c>
      <c r="F333" t="s">
        <v>101</v>
      </c>
      <c r="G333">
        <v>15886</v>
      </c>
      <c r="H333" t="s">
        <v>451</v>
      </c>
      <c r="I333">
        <v>0</v>
      </c>
      <c r="J333">
        <v>0</v>
      </c>
      <c r="K333">
        <v>0</v>
      </c>
      <c r="L333">
        <v>0</v>
      </c>
      <c r="M333" t="s">
        <v>101</v>
      </c>
      <c r="N333">
        <v>15886</v>
      </c>
      <c r="O333" t="s">
        <v>451</v>
      </c>
      <c r="P333" t="b">
        <v>1</v>
      </c>
      <c r="Q333">
        <v>15885.992057005957</v>
      </c>
      <c r="R333">
        <v>500</v>
      </c>
      <c r="S333">
        <v>16.885992057005957</v>
      </c>
      <c r="T333">
        <v>0</v>
      </c>
      <c r="U333">
        <v>0</v>
      </c>
      <c r="V333">
        <v>0</v>
      </c>
    </row>
    <row r="334" spans="1:22" x14ac:dyDescent="0.25">
      <c r="A334"/>
      <c r="B334">
        <v>11281</v>
      </c>
      <c r="C334" t="s">
        <v>381</v>
      </c>
      <c r="D334" t="s">
        <v>47</v>
      </c>
      <c r="E334" t="s">
        <v>436</v>
      </c>
      <c r="F334" t="s">
        <v>101</v>
      </c>
      <c r="G334">
        <v>15949</v>
      </c>
      <c r="H334" t="s">
        <v>451</v>
      </c>
      <c r="I334">
        <v>0</v>
      </c>
      <c r="J334">
        <v>0</v>
      </c>
      <c r="K334">
        <v>0</v>
      </c>
      <c r="L334">
        <v>0</v>
      </c>
      <c r="M334" t="s">
        <v>101</v>
      </c>
      <c r="N334">
        <v>15949</v>
      </c>
      <c r="O334" t="s">
        <v>451</v>
      </c>
      <c r="P334" t="b">
        <v>1</v>
      </c>
      <c r="Q334">
        <v>15948.992025505981</v>
      </c>
      <c r="R334">
        <v>500</v>
      </c>
      <c r="S334">
        <v>16.94899202550598</v>
      </c>
      <c r="T334">
        <v>0</v>
      </c>
      <c r="U334">
        <v>0</v>
      </c>
      <c r="V334">
        <v>0</v>
      </c>
    </row>
    <row r="335" spans="1:22" x14ac:dyDescent="0.25">
      <c r="A335"/>
      <c r="B335">
        <v>11282</v>
      </c>
      <c r="C335" t="s">
        <v>382</v>
      </c>
      <c r="D335" t="s">
        <v>47</v>
      </c>
      <c r="E335" t="s">
        <v>436</v>
      </c>
      <c r="F335" t="s">
        <v>101</v>
      </c>
      <c r="G335">
        <v>16069</v>
      </c>
      <c r="H335" t="s">
        <v>451</v>
      </c>
      <c r="I335">
        <v>0</v>
      </c>
      <c r="J335">
        <v>0</v>
      </c>
      <c r="K335">
        <v>0</v>
      </c>
      <c r="L335">
        <v>0</v>
      </c>
      <c r="M335" t="s">
        <v>101</v>
      </c>
      <c r="N335">
        <v>16069</v>
      </c>
      <c r="O335" t="s">
        <v>451</v>
      </c>
      <c r="P335" t="b">
        <v>1</v>
      </c>
      <c r="Q335">
        <v>16068.991965506026</v>
      </c>
      <c r="R335">
        <v>500</v>
      </c>
      <c r="S335">
        <v>17.068991965506026</v>
      </c>
      <c r="T335">
        <v>0</v>
      </c>
      <c r="U335">
        <v>0</v>
      </c>
      <c r="V335">
        <v>0</v>
      </c>
    </row>
    <row r="336" spans="1:22" x14ac:dyDescent="0.25">
      <c r="A336"/>
      <c r="B336">
        <v>11283</v>
      </c>
      <c r="C336" t="s">
        <v>383</v>
      </c>
      <c r="D336" t="s">
        <v>47</v>
      </c>
      <c r="E336" t="s">
        <v>436</v>
      </c>
      <c r="F336" t="s">
        <v>101</v>
      </c>
      <c r="G336">
        <v>16090</v>
      </c>
      <c r="H336" t="s">
        <v>451</v>
      </c>
      <c r="I336">
        <v>0</v>
      </c>
      <c r="J336">
        <v>0</v>
      </c>
      <c r="K336">
        <v>0</v>
      </c>
      <c r="L336">
        <v>0</v>
      </c>
      <c r="M336" t="s">
        <v>101</v>
      </c>
      <c r="N336">
        <v>16090</v>
      </c>
      <c r="O336" t="s">
        <v>451</v>
      </c>
      <c r="P336" t="b">
        <v>1</v>
      </c>
      <c r="Q336">
        <v>16089.991955006033</v>
      </c>
      <c r="R336">
        <v>500</v>
      </c>
      <c r="S336">
        <v>17.089991955006035</v>
      </c>
      <c r="T336">
        <v>0</v>
      </c>
      <c r="U336">
        <v>0</v>
      </c>
      <c r="V336">
        <v>0</v>
      </c>
    </row>
    <row r="337" spans="1:22" x14ac:dyDescent="0.25">
      <c r="A337"/>
      <c r="B337">
        <v>11284</v>
      </c>
      <c r="C337" t="s">
        <v>384</v>
      </c>
      <c r="D337" t="s">
        <v>47</v>
      </c>
      <c r="E337" t="s">
        <v>436</v>
      </c>
      <c r="F337" t="s">
        <v>101</v>
      </c>
      <c r="G337">
        <v>16186.52</v>
      </c>
      <c r="H337" t="s">
        <v>451</v>
      </c>
      <c r="I337">
        <v>0</v>
      </c>
      <c r="J337">
        <v>0</v>
      </c>
      <c r="K337">
        <v>0</v>
      </c>
      <c r="L337">
        <v>0</v>
      </c>
      <c r="M337" t="s">
        <v>101</v>
      </c>
      <c r="N337">
        <v>16186.52</v>
      </c>
      <c r="O337" t="s">
        <v>451</v>
      </c>
      <c r="P337" t="b">
        <v>1</v>
      </c>
      <c r="Q337">
        <v>16186.511906746069</v>
      </c>
      <c r="R337">
        <v>500</v>
      </c>
      <c r="S337">
        <v>17.18651190674607</v>
      </c>
      <c r="T337">
        <v>0</v>
      </c>
      <c r="U337">
        <v>0</v>
      </c>
      <c r="V337">
        <v>0</v>
      </c>
    </row>
    <row r="338" spans="1:22" x14ac:dyDescent="0.25">
      <c r="A338"/>
      <c r="B338">
        <v>11285</v>
      </c>
      <c r="C338" t="s">
        <v>385</v>
      </c>
      <c r="D338" t="s">
        <v>47</v>
      </c>
      <c r="E338" t="s">
        <v>436</v>
      </c>
      <c r="F338" t="s">
        <v>101</v>
      </c>
      <c r="G338">
        <v>16201.379999999899</v>
      </c>
      <c r="H338" t="s">
        <v>451</v>
      </c>
      <c r="I338">
        <v>0</v>
      </c>
      <c r="J338">
        <v>0</v>
      </c>
      <c r="K338">
        <v>0</v>
      </c>
      <c r="L338">
        <v>0</v>
      </c>
      <c r="M338" t="s">
        <v>101</v>
      </c>
      <c r="N338">
        <v>16201.379999999899</v>
      </c>
      <c r="O338" t="s">
        <v>451</v>
      </c>
      <c r="P338" t="b">
        <v>1</v>
      </c>
      <c r="Q338">
        <v>16201.371899315975</v>
      </c>
      <c r="R338">
        <v>500</v>
      </c>
      <c r="S338">
        <v>17.201371899315973</v>
      </c>
      <c r="T338">
        <v>0</v>
      </c>
      <c r="U338">
        <v>0</v>
      </c>
      <c r="V338">
        <v>0</v>
      </c>
    </row>
    <row r="339" spans="1:22" x14ac:dyDescent="0.25">
      <c r="A339"/>
      <c r="B339">
        <v>11286</v>
      </c>
      <c r="C339" t="s">
        <v>386</v>
      </c>
      <c r="D339" t="s">
        <v>47</v>
      </c>
      <c r="E339" t="s">
        <v>436</v>
      </c>
      <c r="F339" t="s">
        <v>101</v>
      </c>
      <c r="G339">
        <v>16204.379999999899</v>
      </c>
      <c r="H339" t="s">
        <v>451</v>
      </c>
      <c r="I339">
        <v>0</v>
      </c>
      <c r="J339">
        <v>0</v>
      </c>
      <c r="K339">
        <v>0</v>
      </c>
      <c r="L339">
        <v>0</v>
      </c>
      <c r="M339" t="s">
        <v>101</v>
      </c>
      <c r="N339">
        <v>16204.379999999899</v>
      </c>
      <c r="O339" t="s">
        <v>451</v>
      </c>
      <c r="P339" t="b">
        <v>1</v>
      </c>
      <c r="Q339">
        <v>16204.371897815974</v>
      </c>
      <c r="R339">
        <v>500</v>
      </c>
      <c r="S339">
        <v>17.204371897815975</v>
      </c>
      <c r="T339">
        <v>0</v>
      </c>
      <c r="U339">
        <v>0</v>
      </c>
      <c r="V339">
        <v>0</v>
      </c>
    </row>
    <row r="340" spans="1:22" x14ac:dyDescent="0.25">
      <c r="A340"/>
      <c r="B340">
        <v>11287</v>
      </c>
      <c r="C340" t="s">
        <v>387</v>
      </c>
      <c r="D340" t="s">
        <v>47</v>
      </c>
      <c r="E340" t="s">
        <v>436</v>
      </c>
      <c r="F340" t="s">
        <v>101</v>
      </c>
      <c r="G340">
        <v>16224.299999999899</v>
      </c>
      <c r="H340" t="s">
        <v>451</v>
      </c>
      <c r="I340">
        <v>0</v>
      </c>
      <c r="J340">
        <v>0</v>
      </c>
      <c r="K340">
        <v>0</v>
      </c>
      <c r="L340">
        <v>0</v>
      </c>
      <c r="M340" t="s">
        <v>101</v>
      </c>
      <c r="N340">
        <v>16224.299999999899</v>
      </c>
      <c r="O340" t="s">
        <v>451</v>
      </c>
      <c r="P340" t="b">
        <v>1</v>
      </c>
      <c r="Q340">
        <v>16224.291887855983</v>
      </c>
      <c r="R340">
        <v>500</v>
      </c>
      <c r="S340">
        <v>17.224291887855983</v>
      </c>
      <c r="T340">
        <v>0</v>
      </c>
      <c r="U340">
        <v>0</v>
      </c>
      <c r="V340">
        <v>0</v>
      </c>
    </row>
    <row r="341" spans="1:22" x14ac:dyDescent="0.25">
      <c r="A341"/>
      <c r="B341">
        <v>11288</v>
      </c>
      <c r="C341" t="s">
        <v>388</v>
      </c>
      <c r="D341" t="s">
        <v>47</v>
      </c>
      <c r="E341" t="s">
        <v>436</v>
      </c>
      <c r="F341" t="s">
        <v>101</v>
      </c>
      <c r="G341">
        <v>16227.299999999899</v>
      </c>
      <c r="H341" t="s">
        <v>451</v>
      </c>
      <c r="I341">
        <v>0</v>
      </c>
      <c r="J341">
        <v>0</v>
      </c>
      <c r="K341">
        <v>0</v>
      </c>
      <c r="L341">
        <v>0</v>
      </c>
      <c r="M341" t="s">
        <v>101</v>
      </c>
      <c r="N341">
        <v>16227.299999999899</v>
      </c>
      <c r="O341" t="s">
        <v>451</v>
      </c>
      <c r="P341" t="b">
        <v>1</v>
      </c>
      <c r="Q341">
        <v>16227.291886355984</v>
      </c>
      <c r="R341">
        <v>500</v>
      </c>
      <c r="S341">
        <v>17.227291886355985</v>
      </c>
      <c r="T341">
        <v>0</v>
      </c>
      <c r="U341">
        <v>0</v>
      </c>
      <c r="V341">
        <v>0</v>
      </c>
    </row>
    <row r="342" spans="1:22" x14ac:dyDescent="0.25">
      <c r="A342"/>
      <c r="B342">
        <v>11289</v>
      </c>
      <c r="C342" t="s">
        <v>389</v>
      </c>
      <c r="D342" t="s">
        <v>47</v>
      </c>
      <c r="E342" t="s">
        <v>436</v>
      </c>
      <c r="F342" t="s">
        <v>101</v>
      </c>
      <c r="G342">
        <v>16285.3199999999</v>
      </c>
      <c r="H342" t="s">
        <v>451</v>
      </c>
      <c r="I342">
        <v>0</v>
      </c>
      <c r="J342">
        <v>0</v>
      </c>
      <c r="K342">
        <v>0</v>
      </c>
      <c r="L342">
        <v>0</v>
      </c>
      <c r="M342" t="s">
        <v>101</v>
      </c>
      <c r="N342">
        <v>16285.3199999999</v>
      </c>
      <c r="O342" t="s">
        <v>451</v>
      </c>
      <c r="P342" t="b">
        <v>1</v>
      </c>
      <c r="Q342">
        <v>16285.311857346005</v>
      </c>
      <c r="R342">
        <v>500</v>
      </c>
      <c r="S342">
        <v>17.285311857346006</v>
      </c>
      <c r="T342">
        <v>0</v>
      </c>
      <c r="U342">
        <v>0</v>
      </c>
      <c r="V342">
        <v>0</v>
      </c>
    </row>
    <row r="343" spans="1:22" x14ac:dyDescent="0.25">
      <c r="A343"/>
      <c r="B343">
        <v>11290</v>
      </c>
      <c r="C343" t="s">
        <v>390</v>
      </c>
      <c r="D343" t="s">
        <v>47</v>
      </c>
      <c r="E343" t="s">
        <v>436</v>
      </c>
      <c r="F343" t="s">
        <v>101</v>
      </c>
      <c r="G343">
        <v>16320.42</v>
      </c>
      <c r="H343" t="s">
        <v>451</v>
      </c>
      <c r="I343">
        <v>0</v>
      </c>
      <c r="J343">
        <v>0</v>
      </c>
      <c r="K343">
        <v>0</v>
      </c>
      <c r="L343">
        <v>0</v>
      </c>
      <c r="M343" t="s">
        <v>101</v>
      </c>
      <c r="N343">
        <v>16320.42</v>
      </c>
      <c r="O343" t="s">
        <v>451</v>
      </c>
      <c r="P343" t="b">
        <v>1</v>
      </c>
      <c r="Q343">
        <v>16320.411839796121</v>
      </c>
      <c r="R343">
        <v>500</v>
      </c>
      <c r="S343">
        <v>17.320411839796119</v>
      </c>
      <c r="T343">
        <v>0</v>
      </c>
      <c r="U343">
        <v>0</v>
      </c>
      <c r="V343">
        <v>0</v>
      </c>
    </row>
    <row r="344" spans="1:22" x14ac:dyDescent="0.25">
      <c r="A344"/>
      <c r="B344">
        <v>11291</v>
      </c>
      <c r="C344" t="s">
        <v>391</v>
      </c>
      <c r="D344" t="s">
        <v>47</v>
      </c>
      <c r="E344" t="s">
        <v>436</v>
      </c>
      <c r="F344" t="s">
        <v>101</v>
      </c>
      <c r="G344">
        <v>16323.42</v>
      </c>
      <c r="H344" t="s">
        <v>451</v>
      </c>
      <c r="I344">
        <v>0</v>
      </c>
      <c r="J344">
        <v>0</v>
      </c>
      <c r="K344">
        <v>0</v>
      </c>
      <c r="L344">
        <v>0</v>
      </c>
      <c r="M344" t="s">
        <v>101</v>
      </c>
      <c r="N344">
        <v>16323.42</v>
      </c>
      <c r="O344" t="s">
        <v>451</v>
      </c>
      <c r="P344" t="b">
        <v>1</v>
      </c>
      <c r="Q344">
        <v>16323.411838296121</v>
      </c>
      <c r="R344">
        <v>500</v>
      </c>
      <c r="S344">
        <v>17.323411838296121</v>
      </c>
      <c r="T344">
        <v>0</v>
      </c>
      <c r="U344">
        <v>0</v>
      </c>
      <c r="V344">
        <v>0</v>
      </c>
    </row>
    <row r="345" spans="1:22" x14ac:dyDescent="0.25">
      <c r="A345"/>
      <c r="B345">
        <v>11292</v>
      </c>
      <c r="C345" t="s">
        <v>392</v>
      </c>
      <c r="D345" t="s">
        <v>47</v>
      </c>
      <c r="E345" t="s">
        <v>436</v>
      </c>
      <c r="F345" t="s">
        <v>101</v>
      </c>
      <c r="G345">
        <v>16343.34</v>
      </c>
      <c r="H345" t="s">
        <v>451</v>
      </c>
      <c r="I345">
        <v>0</v>
      </c>
      <c r="J345">
        <v>0</v>
      </c>
      <c r="K345">
        <v>0</v>
      </c>
      <c r="L345">
        <v>0</v>
      </c>
      <c r="M345" t="s">
        <v>101</v>
      </c>
      <c r="N345">
        <v>16343.34</v>
      </c>
      <c r="O345" t="s">
        <v>451</v>
      </c>
      <c r="P345" t="b">
        <v>1</v>
      </c>
      <c r="Q345">
        <v>16343.33182833613</v>
      </c>
      <c r="R345">
        <v>500</v>
      </c>
      <c r="S345">
        <v>17.343331828336126</v>
      </c>
      <c r="T345">
        <v>0</v>
      </c>
      <c r="U345">
        <v>0</v>
      </c>
      <c r="V345">
        <v>0</v>
      </c>
    </row>
    <row r="346" spans="1:22" x14ac:dyDescent="0.25">
      <c r="A346"/>
      <c r="B346">
        <v>11293</v>
      </c>
      <c r="C346" t="s">
        <v>393</v>
      </c>
      <c r="D346" t="s">
        <v>47</v>
      </c>
      <c r="E346" t="s">
        <v>436</v>
      </c>
      <c r="F346" t="s">
        <v>101</v>
      </c>
      <c r="G346">
        <v>16346.34</v>
      </c>
      <c r="H346" t="s">
        <v>451</v>
      </c>
      <c r="I346">
        <v>0</v>
      </c>
      <c r="J346">
        <v>0</v>
      </c>
      <c r="K346">
        <v>0</v>
      </c>
      <c r="L346">
        <v>0</v>
      </c>
      <c r="M346" t="s">
        <v>101</v>
      </c>
      <c r="N346">
        <v>16346.34</v>
      </c>
      <c r="O346" t="s">
        <v>451</v>
      </c>
      <c r="P346" t="b">
        <v>1</v>
      </c>
      <c r="Q346">
        <v>16346.331826836129</v>
      </c>
      <c r="R346">
        <v>500</v>
      </c>
      <c r="S346">
        <v>17.346331826836128</v>
      </c>
      <c r="T346">
        <v>0</v>
      </c>
      <c r="U346">
        <v>0</v>
      </c>
      <c r="V346">
        <v>0</v>
      </c>
    </row>
    <row r="347" spans="1:22" x14ac:dyDescent="0.25">
      <c r="A347"/>
      <c r="B347">
        <v>11294</v>
      </c>
      <c r="C347" t="s">
        <v>394</v>
      </c>
      <c r="D347" t="s">
        <v>47</v>
      </c>
      <c r="E347" t="s">
        <v>436</v>
      </c>
      <c r="F347" t="s">
        <v>101</v>
      </c>
      <c r="G347">
        <v>16398.7599999999</v>
      </c>
      <c r="H347" t="s">
        <v>451</v>
      </c>
      <c r="I347">
        <v>0</v>
      </c>
      <c r="J347">
        <v>0</v>
      </c>
      <c r="K347">
        <v>0</v>
      </c>
      <c r="L347">
        <v>0</v>
      </c>
      <c r="M347" t="s">
        <v>101</v>
      </c>
      <c r="N347">
        <v>16398.7599999999</v>
      </c>
      <c r="O347" t="s">
        <v>451</v>
      </c>
      <c r="P347" t="b">
        <v>1</v>
      </c>
      <c r="Q347">
        <v>16398.751800626051</v>
      </c>
      <c r="R347">
        <v>500</v>
      </c>
      <c r="S347">
        <v>17.398751800626048</v>
      </c>
      <c r="T347">
        <v>0</v>
      </c>
      <c r="U347">
        <v>0</v>
      </c>
      <c r="V347">
        <v>0</v>
      </c>
    </row>
    <row r="348" spans="1:22" x14ac:dyDescent="0.25">
      <c r="A348"/>
      <c r="B348">
        <v>11295</v>
      </c>
      <c r="C348" t="s">
        <v>395</v>
      </c>
      <c r="D348" t="s">
        <v>47</v>
      </c>
      <c r="E348" t="s">
        <v>436</v>
      </c>
      <c r="F348" t="s">
        <v>101</v>
      </c>
      <c r="G348">
        <v>16478</v>
      </c>
      <c r="H348" t="s">
        <v>451</v>
      </c>
      <c r="I348">
        <v>0</v>
      </c>
      <c r="J348">
        <v>0</v>
      </c>
      <c r="K348">
        <v>0</v>
      </c>
      <c r="L348">
        <v>0</v>
      </c>
      <c r="M348" t="s">
        <v>101</v>
      </c>
      <c r="N348">
        <v>16478</v>
      </c>
      <c r="O348" t="s">
        <v>451</v>
      </c>
      <c r="P348" t="b">
        <v>1</v>
      </c>
      <c r="Q348">
        <v>16477.991761006178</v>
      </c>
      <c r="R348">
        <v>500</v>
      </c>
      <c r="S348">
        <v>17.47799176100618</v>
      </c>
      <c r="T348">
        <v>0</v>
      </c>
      <c r="U348">
        <v>0</v>
      </c>
      <c r="V348">
        <v>0</v>
      </c>
    </row>
    <row r="349" spans="1:22" x14ac:dyDescent="0.25">
      <c r="A349"/>
      <c r="B349">
        <v>11296</v>
      </c>
      <c r="C349" t="s">
        <v>396</v>
      </c>
      <c r="D349" t="s">
        <v>47</v>
      </c>
      <c r="E349" t="s">
        <v>436</v>
      </c>
      <c r="F349" t="s">
        <v>101</v>
      </c>
      <c r="G349">
        <v>16499</v>
      </c>
      <c r="H349" t="s">
        <v>451</v>
      </c>
      <c r="I349">
        <v>0</v>
      </c>
      <c r="J349">
        <v>0</v>
      </c>
      <c r="K349">
        <v>0</v>
      </c>
      <c r="L349">
        <v>0</v>
      </c>
      <c r="M349" t="s">
        <v>101</v>
      </c>
      <c r="N349">
        <v>16499</v>
      </c>
      <c r="O349" t="s">
        <v>451</v>
      </c>
      <c r="P349" t="b">
        <v>1</v>
      </c>
      <c r="Q349">
        <v>16498.991750506186</v>
      </c>
      <c r="R349">
        <v>500</v>
      </c>
      <c r="S349">
        <v>17.498991750506185</v>
      </c>
      <c r="T349">
        <v>0</v>
      </c>
      <c r="U349">
        <v>0</v>
      </c>
      <c r="V349">
        <v>0</v>
      </c>
    </row>
    <row r="350" spans="1:22" x14ac:dyDescent="0.25">
      <c r="A350"/>
      <c r="B350">
        <v>11297</v>
      </c>
      <c r="C350" t="s">
        <v>397</v>
      </c>
      <c r="D350" t="s">
        <v>47</v>
      </c>
      <c r="E350" t="s">
        <v>436</v>
      </c>
      <c r="F350" t="s">
        <v>101</v>
      </c>
      <c r="G350">
        <v>16619</v>
      </c>
      <c r="H350" t="s">
        <v>451</v>
      </c>
      <c r="I350">
        <v>0</v>
      </c>
      <c r="J350">
        <v>0</v>
      </c>
      <c r="K350">
        <v>0</v>
      </c>
      <c r="L350">
        <v>0</v>
      </c>
      <c r="M350" t="s">
        <v>101</v>
      </c>
      <c r="N350">
        <v>16619</v>
      </c>
      <c r="O350" t="s">
        <v>451</v>
      </c>
      <c r="P350" t="b">
        <v>1</v>
      </c>
      <c r="Q350">
        <v>16618.991690506231</v>
      </c>
      <c r="R350">
        <v>500</v>
      </c>
      <c r="S350">
        <v>17.618991690506231</v>
      </c>
      <c r="T350">
        <v>0</v>
      </c>
      <c r="U350">
        <v>0</v>
      </c>
      <c r="V350">
        <v>0</v>
      </c>
    </row>
    <row r="351" spans="1:22" x14ac:dyDescent="0.25">
      <c r="A351"/>
      <c r="B351">
        <v>11298</v>
      </c>
      <c r="C351" t="s">
        <v>398</v>
      </c>
      <c r="D351" t="s">
        <v>47</v>
      </c>
      <c r="E351" t="s">
        <v>436</v>
      </c>
      <c r="F351" t="s">
        <v>101</v>
      </c>
      <c r="G351">
        <v>16762.86</v>
      </c>
      <c r="H351" t="s">
        <v>451</v>
      </c>
      <c r="I351">
        <v>0</v>
      </c>
      <c r="J351">
        <v>0</v>
      </c>
      <c r="K351">
        <v>0</v>
      </c>
      <c r="L351">
        <v>0</v>
      </c>
      <c r="M351" t="s">
        <v>101</v>
      </c>
      <c r="N351">
        <v>16762.86</v>
      </c>
      <c r="O351" t="s">
        <v>451</v>
      </c>
      <c r="P351" t="b">
        <v>1</v>
      </c>
      <c r="Q351">
        <v>16762.851618576286</v>
      </c>
      <c r="R351">
        <v>500</v>
      </c>
      <c r="S351">
        <v>17.762851618576285</v>
      </c>
      <c r="T351">
        <v>0</v>
      </c>
      <c r="U351">
        <v>0</v>
      </c>
      <c r="V351">
        <v>0</v>
      </c>
    </row>
    <row r="352" spans="1:22" x14ac:dyDescent="0.25">
      <c r="A352"/>
      <c r="B352">
        <v>11299</v>
      </c>
      <c r="C352" t="s">
        <v>399</v>
      </c>
      <c r="D352" t="s">
        <v>47</v>
      </c>
      <c r="E352" t="s">
        <v>436</v>
      </c>
      <c r="F352" t="s">
        <v>101</v>
      </c>
      <c r="G352">
        <v>16806.4399999999</v>
      </c>
      <c r="H352" t="s">
        <v>451</v>
      </c>
      <c r="I352">
        <v>0</v>
      </c>
      <c r="J352">
        <v>0</v>
      </c>
      <c r="K352">
        <v>0</v>
      </c>
      <c r="L352">
        <v>0</v>
      </c>
      <c r="M352" t="s">
        <v>101</v>
      </c>
      <c r="N352">
        <v>16806.4399999999</v>
      </c>
      <c r="O352" t="s">
        <v>451</v>
      </c>
      <c r="P352" t="b">
        <v>1</v>
      </c>
      <c r="Q352">
        <v>16806.431596786202</v>
      </c>
      <c r="R352">
        <v>500</v>
      </c>
      <c r="S352">
        <v>17.806431596786201</v>
      </c>
      <c r="T352">
        <v>0</v>
      </c>
      <c r="U352">
        <v>0</v>
      </c>
      <c r="V352">
        <v>0</v>
      </c>
    </row>
    <row r="353" spans="1:22" x14ac:dyDescent="0.25">
      <c r="A353"/>
      <c r="B353">
        <v>11300</v>
      </c>
      <c r="C353" t="s">
        <v>400</v>
      </c>
      <c r="D353" t="s">
        <v>47</v>
      </c>
      <c r="E353" t="s">
        <v>436</v>
      </c>
      <c r="F353" t="s">
        <v>101</v>
      </c>
      <c r="G353">
        <v>16861.84</v>
      </c>
      <c r="H353" t="s">
        <v>451</v>
      </c>
      <c r="I353">
        <v>0</v>
      </c>
      <c r="J353">
        <v>0</v>
      </c>
      <c r="K353">
        <v>0</v>
      </c>
      <c r="L353">
        <v>0</v>
      </c>
      <c r="M353" t="s">
        <v>101</v>
      </c>
      <c r="N353">
        <v>16861.84</v>
      </c>
      <c r="O353" t="s">
        <v>451</v>
      </c>
      <c r="P353" t="b">
        <v>1</v>
      </c>
      <c r="Q353">
        <v>16861.831569086324</v>
      </c>
      <c r="R353">
        <v>500</v>
      </c>
      <c r="S353">
        <v>17.861831569086323</v>
      </c>
      <c r="T353">
        <v>0</v>
      </c>
      <c r="U353">
        <v>0</v>
      </c>
      <c r="V353">
        <v>0</v>
      </c>
    </row>
    <row r="354" spans="1:22" x14ac:dyDescent="0.25">
      <c r="A354"/>
      <c r="B354">
        <v>11301</v>
      </c>
      <c r="C354" t="s">
        <v>401</v>
      </c>
      <c r="D354" t="s">
        <v>47</v>
      </c>
      <c r="E354" t="s">
        <v>436</v>
      </c>
      <c r="F354" t="s">
        <v>101</v>
      </c>
      <c r="G354">
        <v>16948.409999999902</v>
      </c>
      <c r="H354" t="s">
        <v>451</v>
      </c>
      <c r="I354">
        <v>0</v>
      </c>
      <c r="J354">
        <v>0</v>
      </c>
      <c r="K354">
        <v>0</v>
      </c>
      <c r="L354">
        <v>0</v>
      </c>
      <c r="M354" t="s">
        <v>101</v>
      </c>
      <c r="N354">
        <v>16948.409999999902</v>
      </c>
      <c r="O354" t="s">
        <v>451</v>
      </c>
      <c r="P354" t="b">
        <v>1</v>
      </c>
      <c r="Q354">
        <v>16948.401525801259</v>
      </c>
      <c r="R354">
        <v>500</v>
      </c>
      <c r="S354">
        <v>17.948401525801255</v>
      </c>
      <c r="T354">
        <v>0</v>
      </c>
      <c r="U354">
        <v>0</v>
      </c>
      <c r="V354">
        <v>0</v>
      </c>
    </row>
    <row r="355" spans="1:22" x14ac:dyDescent="0.25">
      <c r="A355"/>
      <c r="B355">
        <v>11302</v>
      </c>
      <c r="C355" t="s">
        <v>402</v>
      </c>
      <c r="D355" t="s">
        <v>47</v>
      </c>
      <c r="E355" t="s">
        <v>436</v>
      </c>
      <c r="F355" t="s">
        <v>101</v>
      </c>
      <c r="G355">
        <v>17109</v>
      </c>
      <c r="H355" t="s">
        <v>451</v>
      </c>
      <c r="I355">
        <v>0</v>
      </c>
      <c r="J355">
        <v>0</v>
      </c>
      <c r="K355">
        <v>0</v>
      </c>
      <c r="L355">
        <v>0</v>
      </c>
      <c r="M355" t="s">
        <v>101</v>
      </c>
      <c r="N355">
        <v>17109</v>
      </c>
      <c r="O355" t="s">
        <v>451</v>
      </c>
      <c r="P355" t="b">
        <v>1</v>
      </c>
      <c r="Q355">
        <v>17108.991445506414</v>
      </c>
      <c r="R355">
        <v>500</v>
      </c>
      <c r="S355">
        <v>18.108991445506415</v>
      </c>
      <c r="T355">
        <v>0</v>
      </c>
      <c r="U355">
        <v>0</v>
      </c>
      <c r="V355">
        <v>0</v>
      </c>
    </row>
    <row r="356" spans="1:22" x14ac:dyDescent="0.25">
      <c r="A356"/>
      <c r="B356">
        <v>11303</v>
      </c>
      <c r="C356" t="s">
        <v>403</v>
      </c>
      <c r="D356" t="s">
        <v>47</v>
      </c>
      <c r="E356" t="s">
        <v>436</v>
      </c>
      <c r="F356" t="s">
        <v>101</v>
      </c>
      <c r="G356">
        <v>17229</v>
      </c>
      <c r="H356" t="s">
        <v>451</v>
      </c>
      <c r="I356">
        <v>0</v>
      </c>
      <c r="J356">
        <v>0</v>
      </c>
      <c r="K356">
        <v>0</v>
      </c>
      <c r="L356">
        <v>0</v>
      </c>
      <c r="M356" t="s">
        <v>101</v>
      </c>
      <c r="N356">
        <v>17229</v>
      </c>
      <c r="O356" t="s">
        <v>451</v>
      </c>
      <c r="P356" t="b">
        <v>1</v>
      </c>
      <c r="Q356">
        <v>17228.991385506459</v>
      </c>
      <c r="R356">
        <v>500</v>
      </c>
      <c r="S356">
        <v>18.228991385506461</v>
      </c>
      <c r="T356">
        <v>0</v>
      </c>
      <c r="U356">
        <v>0</v>
      </c>
      <c r="V356">
        <v>0</v>
      </c>
    </row>
    <row r="357" spans="1:22" x14ac:dyDescent="0.25">
      <c r="A357"/>
      <c r="B357">
        <v>11304</v>
      </c>
      <c r="C357" t="s">
        <v>404</v>
      </c>
      <c r="D357" t="s">
        <v>47</v>
      </c>
      <c r="E357" t="s">
        <v>436</v>
      </c>
      <c r="F357" t="s">
        <v>101</v>
      </c>
      <c r="G357">
        <v>17250</v>
      </c>
      <c r="H357" t="s">
        <v>451</v>
      </c>
      <c r="I357">
        <v>0</v>
      </c>
      <c r="J357">
        <v>0</v>
      </c>
      <c r="K357">
        <v>0</v>
      </c>
      <c r="L357">
        <v>0</v>
      </c>
      <c r="M357" t="s">
        <v>101</v>
      </c>
      <c r="N357">
        <v>17250</v>
      </c>
      <c r="O357" t="s">
        <v>451</v>
      </c>
      <c r="P357" t="b">
        <v>1</v>
      </c>
      <c r="Q357">
        <v>17249.991375006466</v>
      </c>
      <c r="R357">
        <v>500</v>
      </c>
      <c r="S357">
        <v>18.249991375006466</v>
      </c>
      <c r="T357">
        <v>0</v>
      </c>
      <c r="U357">
        <v>0</v>
      </c>
      <c r="V357">
        <v>0</v>
      </c>
    </row>
    <row r="358" spans="1:22" x14ac:dyDescent="0.25">
      <c r="A358"/>
      <c r="B358">
        <v>11305</v>
      </c>
      <c r="C358" t="s">
        <v>405</v>
      </c>
      <c r="D358" t="s">
        <v>47</v>
      </c>
      <c r="E358" t="s">
        <v>436</v>
      </c>
      <c r="F358" t="s">
        <v>101</v>
      </c>
      <c r="G358">
        <v>17402.3499999999</v>
      </c>
      <c r="H358" t="s">
        <v>451</v>
      </c>
      <c r="I358">
        <v>0</v>
      </c>
      <c r="J358">
        <v>0</v>
      </c>
      <c r="K358">
        <v>0</v>
      </c>
      <c r="L358">
        <v>0</v>
      </c>
      <c r="M358" t="s">
        <v>101</v>
      </c>
      <c r="N358">
        <v>17402.3499999999</v>
      </c>
      <c r="O358" t="s">
        <v>451</v>
      </c>
      <c r="P358" t="b">
        <v>1</v>
      </c>
      <c r="Q358">
        <v>17402.341298831427</v>
      </c>
      <c r="R358">
        <v>500</v>
      </c>
      <c r="S358">
        <v>18.402341298831423</v>
      </c>
      <c r="T358">
        <v>0</v>
      </c>
      <c r="U358">
        <v>0</v>
      </c>
      <c r="V358">
        <v>0</v>
      </c>
    </row>
    <row r="359" spans="1:22" x14ac:dyDescent="0.25">
      <c r="A359"/>
      <c r="B359">
        <v>11306</v>
      </c>
      <c r="C359" t="s">
        <v>406</v>
      </c>
      <c r="D359" t="s">
        <v>47</v>
      </c>
      <c r="E359" t="s">
        <v>436</v>
      </c>
      <c r="F359" t="s">
        <v>101</v>
      </c>
      <c r="G359">
        <v>17478.409999999902</v>
      </c>
      <c r="H359" t="s">
        <v>451</v>
      </c>
      <c r="I359">
        <v>0</v>
      </c>
      <c r="J359">
        <v>0</v>
      </c>
      <c r="K359">
        <v>0</v>
      </c>
      <c r="L359">
        <v>0</v>
      </c>
      <c r="M359" t="s">
        <v>101</v>
      </c>
      <c r="N359">
        <v>17478.409999999902</v>
      </c>
      <c r="O359" t="s">
        <v>451</v>
      </c>
      <c r="P359" t="b">
        <v>1</v>
      </c>
      <c r="Q359">
        <v>17478.401260801456</v>
      </c>
      <c r="R359">
        <v>500</v>
      </c>
      <c r="S359">
        <v>18.478401260801455</v>
      </c>
      <c r="T359">
        <v>0</v>
      </c>
      <c r="U359">
        <v>0</v>
      </c>
      <c r="V359">
        <v>0</v>
      </c>
    </row>
    <row r="360" spans="1:22" x14ac:dyDescent="0.25">
      <c r="A360"/>
      <c r="B360">
        <v>11307</v>
      </c>
      <c r="C360" t="s">
        <v>407</v>
      </c>
      <c r="D360" t="s">
        <v>47</v>
      </c>
      <c r="E360" t="s">
        <v>436</v>
      </c>
      <c r="F360" t="s">
        <v>101</v>
      </c>
      <c r="G360">
        <v>17493.27</v>
      </c>
      <c r="H360" t="s">
        <v>451</v>
      </c>
      <c r="I360">
        <v>0</v>
      </c>
      <c r="J360">
        <v>0</v>
      </c>
      <c r="K360">
        <v>0</v>
      </c>
      <c r="L360">
        <v>0</v>
      </c>
      <c r="M360" t="s">
        <v>101</v>
      </c>
      <c r="N360">
        <v>17493.27</v>
      </c>
      <c r="O360" t="s">
        <v>451</v>
      </c>
      <c r="P360" t="b">
        <v>1</v>
      </c>
      <c r="Q360">
        <v>17493.261253371558</v>
      </c>
      <c r="R360">
        <v>500</v>
      </c>
      <c r="S360">
        <v>18.493261253371561</v>
      </c>
      <c r="T360">
        <v>0</v>
      </c>
      <c r="U360">
        <v>0</v>
      </c>
      <c r="V360">
        <v>0</v>
      </c>
    </row>
    <row r="361" spans="1:22" x14ac:dyDescent="0.25">
      <c r="A361"/>
      <c r="B361">
        <v>11308</v>
      </c>
      <c r="C361" t="s">
        <v>408</v>
      </c>
      <c r="D361" t="s">
        <v>47</v>
      </c>
      <c r="E361" t="s">
        <v>436</v>
      </c>
      <c r="F361" t="s">
        <v>101</v>
      </c>
      <c r="G361">
        <v>17496.27</v>
      </c>
      <c r="H361" t="s">
        <v>451</v>
      </c>
      <c r="I361">
        <v>0</v>
      </c>
      <c r="J361">
        <v>0</v>
      </c>
      <c r="K361">
        <v>0</v>
      </c>
      <c r="L361">
        <v>0</v>
      </c>
      <c r="M361" t="s">
        <v>101</v>
      </c>
      <c r="N361">
        <v>17496.27</v>
      </c>
      <c r="O361" t="s">
        <v>451</v>
      </c>
      <c r="P361" t="b">
        <v>1</v>
      </c>
      <c r="Q361">
        <v>17496.261251871561</v>
      </c>
      <c r="R361">
        <v>500</v>
      </c>
      <c r="S361">
        <v>18.496261251871559</v>
      </c>
      <c r="T361">
        <v>0</v>
      </c>
      <c r="U361">
        <v>0</v>
      </c>
      <c r="V361">
        <v>0</v>
      </c>
    </row>
    <row r="362" spans="1:22" x14ac:dyDescent="0.25">
      <c r="A362"/>
      <c r="B362">
        <v>11309</v>
      </c>
      <c r="C362" t="s">
        <v>409</v>
      </c>
      <c r="D362" t="s">
        <v>47</v>
      </c>
      <c r="E362" t="s">
        <v>436</v>
      </c>
      <c r="F362" t="s">
        <v>101</v>
      </c>
      <c r="G362">
        <v>17516.1899999999</v>
      </c>
      <c r="H362" t="s">
        <v>451</v>
      </c>
      <c r="I362">
        <v>0</v>
      </c>
      <c r="J362">
        <v>0</v>
      </c>
      <c r="K362">
        <v>0</v>
      </c>
      <c r="L362">
        <v>0</v>
      </c>
      <c r="M362" t="s">
        <v>101</v>
      </c>
      <c r="N362">
        <v>17516.1899999999</v>
      </c>
      <c r="O362" t="s">
        <v>451</v>
      </c>
      <c r="P362" t="b">
        <v>1</v>
      </c>
      <c r="Q362">
        <v>17516.181241911469</v>
      </c>
      <c r="R362">
        <v>500</v>
      </c>
      <c r="S362">
        <v>18.516181241911468</v>
      </c>
      <c r="T362">
        <v>0</v>
      </c>
      <c r="U362">
        <v>0</v>
      </c>
      <c r="V362">
        <v>0</v>
      </c>
    </row>
    <row r="363" spans="1:22" x14ac:dyDescent="0.25">
      <c r="A363"/>
      <c r="B363">
        <v>11310</v>
      </c>
      <c r="C363" t="s">
        <v>410</v>
      </c>
      <c r="D363" t="s">
        <v>47</v>
      </c>
      <c r="E363" t="s">
        <v>436</v>
      </c>
      <c r="F363" t="s">
        <v>101</v>
      </c>
      <c r="G363">
        <v>17519.1899999999</v>
      </c>
      <c r="H363" t="s">
        <v>451</v>
      </c>
      <c r="I363">
        <v>0</v>
      </c>
      <c r="J363">
        <v>0</v>
      </c>
      <c r="K363">
        <v>0</v>
      </c>
      <c r="L363">
        <v>0</v>
      </c>
      <c r="M363" t="s">
        <v>101</v>
      </c>
      <c r="N363">
        <v>17519.1899999999</v>
      </c>
      <c r="O363" t="s">
        <v>451</v>
      </c>
      <c r="P363" t="b">
        <v>1</v>
      </c>
      <c r="Q363">
        <v>17519.181240411468</v>
      </c>
      <c r="R363">
        <v>500</v>
      </c>
      <c r="S363">
        <v>18.51918124041147</v>
      </c>
      <c r="T363">
        <v>0</v>
      </c>
      <c r="U363">
        <v>0</v>
      </c>
      <c r="V363">
        <v>0</v>
      </c>
    </row>
    <row r="364" spans="1:22" x14ac:dyDescent="0.25">
      <c r="A364"/>
      <c r="B364">
        <v>11311</v>
      </c>
      <c r="C364" t="s">
        <v>411</v>
      </c>
      <c r="D364" t="s">
        <v>47</v>
      </c>
      <c r="E364" t="s">
        <v>436</v>
      </c>
      <c r="F364" t="s">
        <v>101</v>
      </c>
      <c r="G364">
        <v>17577.209999999901</v>
      </c>
      <c r="H364" t="s">
        <v>451</v>
      </c>
      <c r="I364">
        <v>0</v>
      </c>
      <c r="J364">
        <v>0</v>
      </c>
      <c r="K364">
        <v>0</v>
      </c>
      <c r="L364">
        <v>0</v>
      </c>
      <c r="M364" t="s">
        <v>101</v>
      </c>
      <c r="N364">
        <v>17577.209999999901</v>
      </c>
      <c r="O364" t="s">
        <v>451</v>
      </c>
      <c r="P364" t="b">
        <v>1</v>
      </c>
      <c r="Q364">
        <v>17577.201211401491</v>
      </c>
      <c r="R364">
        <v>500</v>
      </c>
      <c r="S364">
        <v>18.577201211401491</v>
      </c>
      <c r="T364">
        <v>0</v>
      </c>
      <c r="U364">
        <v>0</v>
      </c>
      <c r="V364">
        <v>0</v>
      </c>
    </row>
    <row r="365" spans="1:22" x14ac:dyDescent="0.25">
      <c r="A365"/>
      <c r="B365">
        <v>11312</v>
      </c>
      <c r="C365" t="s">
        <v>412</v>
      </c>
      <c r="D365" t="s">
        <v>47</v>
      </c>
      <c r="E365" t="s">
        <v>436</v>
      </c>
      <c r="F365" t="s">
        <v>101</v>
      </c>
      <c r="G365">
        <v>17612.310000000001</v>
      </c>
      <c r="H365" t="s">
        <v>451</v>
      </c>
      <c r="I365">
        <v>0</v>
      </c>
      <c r="J365">
        <v>0</v>
      </c>
      <c r="K365">
        <v>0</v>
      </c>
      <c r="L365">
        <v>0</v>
      </c>
      <c r="M365" t="s">
        <v>101</v>
      </c>
      <c r="N365">
        <v>17612.310000000001</v>
      </c>
      <c r="O365" t="s">
        <v>451</v>
      </c>
      <c r="P365" t="b">
        <v>1</v>
      </c>
      <c r="Q365">
        <v>17612.301193851607</v>
      </c>
      <c r="R365">
        <v>500</v>
      </c>
      <c r="S365">
        <v>18.612301193851604</v>
      </c>
      <c r="T365">
        <v>0</v>
      </c>
      <c r="U365">
        <v>0</v>
      </c>
      <c r="V365">
        <v>0</v>
      </c>
    </row>
    <row r="366" spans="1:22" x14ac:dyDescent="0.25">
      <c r="A366"/>
      <c r="B366">
        <v>11313</v>
      </c>
      <c r="C366" t="s">
        <v>413</v>
      </c>
      <c r="D366" t="s">
        <v>47</v>
      </c>
      <c r="E366" t="s">
        <v>436</v>
      </c>
      <c r="F366" t="s">
        <v>101</v>
      </c>
      <c r="G366">
        <v>17615.310000000001</v>
      </c>
      <c r="H366" t="s">
        <v>451</v>
      </c>
      <c r="I366">
        <v>0</v>
      </c>
      <c r="J366">
        <v>0</v>
      </c>
      <c r="K366">
        <v>0</v>
      </c>
      <c r="L366">
        <v>0</v>
      </c>
      <c r="M366" t="s">
        <v>101</v>
      </c>
      <c r="N366">
        <v>17615.310000000001</v>
      </c>
      <c r="O366" t="s">
        <v>451</v>
      </c>
      <c r="P366" t="b">
        <v>1</v>
      </c>
      <c r="Q366">
        <v>17615.301192351606</v>
      </c>
      <c r="R366">
        <v>500</v>
      </c>
      <c r="S366">
        <v>18.615301192351605</v>
      </c>
      <c r="T366">
        <v>0</v>
      </c>
      <c r="U366">
        <v>0</v>
      </c>
      <c r="V366">
        <v>0</v>
      </c>
    </row>
    <row r="367" spans="1:22" x14ac:dyDescent="0.25">
      <c r="A367"/>
      <c r="B367">
        <v>11314</v>
      </c>
      <c r="C367" t="s">
        <v>414</v>
      </c>
      <c r="D367" t="s">
        <v>47</v>
      </c>
      <c r="E367" t="s">
        <v>436</v>
      </c>
      <c r="F367" t="s">
        <v>101</v>
      </c>
      <c r="G367">
        <v>17635.229999999901</v>
      </c>
      <c r="H367" t="s">
        <v>451</v>
      </c>
      <c r="I367">
        <v>0</v>
      </c>
      <c r="J367">
        <v>0</v>
      </c>
      <c r="K367">
        <v>0</v>
      </c>
      <c r="L367">
        <v>0</v>
      </c>
      <c r="M367" t="s">
        <v>101</v>
      </c>
      <c r="N367">
        <v>17635.229999999901</v>
      </c>
      <c r="O367" t="s">
        <v>451</v>
      </c>
      <c r="P367" t="b">
        <v>1</v>
      </c>
      <c r="Q367">
        <v>17635.221182391513</v>
      </c>
      <c r="R367">
        <v>500</v>
      </c>
      <c r="S367">
        <v>18.635221182391515</v>
      </c>
      <c r="T367">
        <v>0</v>
      </c>
      <c r="U367">
        <v>0</v>
      </c>
      <c r="V367">
        <v>0</v>
      </c>
    </row>
    <row r="368" spans="1:22" x14ac:dyDescent="0.25">
      <c r="A368"/>
      <c r="B368">
        <v>11315</v>
      </c>
      <c r="C368" t="s">
        <v>415</v>
      </c>
      <c r="D368" t="s">
        <v>47</v>
      </c>
      <c r="E368" t="s">
        <v>436</v>
      </c>
      <c r="F368" t="s">
        <v>101</v>
      </c>
      <c r="G368">
        <v>17638.229999999901</v>
      </c>
      <c r="H368" t="s">
        <v>451</v>
      </c>
      <c r="I368">
        <v>0</v>
      </c>
      <c r="J368">
        <v>0</v>
      </c>
      <c r="K368">
        <v>0</v>
      </c>
      <c r="L368">
        <v>0</v>
      </c>
      <c r="M368" t="s">
        <v>101</v>
      </c>
      <c r="N368">
        <v>17638.229999999901</v>
      </c>
      <c r="O368" t="s">
        <v>451</v>
      </c>
      <c r="P368" t="b">
        <v>1</v>
      </c>
      <c r="Q368">
        <v>17638.221180891516</v>
      </c>
      <c r="R368">
        <v>500</v>
      </c>
      <c r="S368">
        <v>18.638221180891513</v>
      </c>
      <c r="T368">
        <v>0</v>
      </c>
      <c r="U368">
        <v>0</v>
      </c>
      <c r="V368">
        <v>0</v>
      </c>
    </row>
    <row r="369" spans="1:22" x14ac:dyDescent="0.25">
      <c r="A369"/>
      <c r="B369">
        <v>11316</v>
      </c>
      <c r="C369" t="s">
        <v>416</v>
      </c>
      <c r="D369" t="s">
        <v>47</v>
      </c>
      <c r="E369" t="s">
        <v>436</v>
      </c>
      <c r="F369" t="s">
        <v>101</v>
      </c>
      <c r="G369">
        <v>17690.650000000001</v>
      </c>
      <c r="H369" t="s">
        <v>451</v>
      </c>
      <c r="I369">
        <v>0</v>
      </c>
      <c r="J369">
        <v>0</v>
      </c>
      <c r="K369">
        <v>0</v>
      </c>
      <c r="L369">
        <v>0</v>
      </c>
      <c r="M369" t="s">
        <v>101</v>
      </c>
      <c r="N369">
        <v>17690.650000000001</v>
      </c>
      <c r="O369" t="s">
        <v>451</v>
      </c>
      <c r="P369" t="b">
        <v>1</v>
      </c>
      <c r="Q369">
        <v>17690.641154681634</v>
      </c>
      <c r="R369">
        <v>500</v>
      </c>
      <c r="S369">
        <v>18.690641154681636</v>
      </c>
      <c r="T369">
        <v>0</v>
      </c>
      <c r="U369">
        <v>0</v>
      </c>
      <c r="V369">
        <v>0</v>
      </c>
    </row>
    <row r="370" spans="1:22" x14ac:dyDescent="0.25">
      <c r="A370"/>
      <c r="B370">
        <v>11317</v>
      </c>
      <c r="C370" t="s">
        <v>417</v>
      </c>
      <c r="D370" t="s">
        <v>47</v>
      </c>
      <c r="E370" t="s">
        <v>436</v>
      </c>
      <c r="F370" t="s">
        <v>101</v>
      </c>
      <c r="G370">
        <v>17740.61</v>
      </c>
      <c r="H370" t="s">
        <v>451</v>
      </c>
      <c r="I370">
        <v>0</v>
      </c>
      <c r="J370">
        <v>0</v>
      </c>
      <c r="K370">
        <v>0</v>
      </c>
      <c r="L370">
        <v>0</v>
      </c>
      <c r="M370" t="s">
        <v>101</v>
      </c>
      <c r="N370">
        <v>17740.61</v>
      </c>
      <c r="O370" t="s">
        <v>451</v>
      </c>
      <c r="P370" t="b">
        <v>1</v>
      </c>
      <c r="Q370">
        <v>17740.601129701652</v>
      </c>
      <c r="R370">
        <v>500</v>
      </c>
      <c r="S370">
        <v>18.740601129701652</v>
      </c>
      <c r="T370">
        <v>0</v>
      </c>
      <c r="U370">
        <v>0</v>
      </c>
      <c r="V370">
        <v>0</v>
      </c>
    </row>
    <row r="371" spans="1:22" x14ac:dyDescent="0.25">
      <c r="A371"/>
      <c r="B371">
        <v>11318</v>
      </c>
      <c r="C371" t="s">
        <v>418</v>
      </c>
      <c r="D371" t="s">
        <v>47</v>
      </c>
      <c r="E371" t="s">
        <v>436</v>
      </c>
      <c r="F371" t="s">
        <v>101</v>
      </c>
      <c r="G371">
        <v>17827</v>
      </c>
      <c r="H371" t="s">
        <v>451</v>
      </c>
      <c r="I371">
        <v>0</v>
      </c>
      <c r="J371">
        <v>0</v>
      </c>
      <c r="K371">
        <v>0</v>
      </c>
      <c r="L371">
        <v>0</v>
      </c>
      <c r="M371" t="s">
        <v>101</v>
      </c>
      <c r="N371">
        <v>17827</v>
      </c>
      <c r="O371" t="s">
        <v>451</v>
      </c>
      <c r="P371" t="b">
        <v>1</v>
      </c>
      <c r="Q371">
        <v>17826.991086506685</v>
      </c>
      <c r="R371">
        <v>500</v>
      </c>
      <c r="S371">
        <v>18.826991086506684</v>
      </c>
      <c r="T371">
        <v>0</v>
      </c>
      <c r="U371">
        <v>0</v>
      </c>
      <c r="V371">
        <v>0</v>
      </c>
    </row>
    <row r="372" spans="1:22" x14ac:dyDescent="0.25">
      <c r="A372"/>
      <c r="B372">
        <v>11319</v>
      </c>
      <c r="C372" t="s">
        <v>419</v>
      </c>
      <c r="D372" t="s">
        <v>47</v>
      </c>
      <c r="E372" t="s">
        <v>436</v>
      </c>
      <c r="F372" t="s">
        <v>101</v>
      </c>
      <c r="G372">
        <v>17848</v>
      </c>
      <c r="H372" t="s">
        <v>451</v>
      </c>
      <c r="I372">
        <v>0</v>
      </c>
      <c r="J372">
        <v>0</v>
      </c>
      <c r="K372">
        <v>0</v>
      </c>
      <c r="L372">
        <v>0</v>
      </c>
      <c r="M372" t="s">
        <v>101</v>
      </c>
      <c r="N372">
        <v>17848</v>
      </c>
      <c r="O372" t="s">
        <v>451</v>
      </c>
      <c r="P372" t="b">
        <v>1</v>
      </c>
      <c r="Q372">
        <v>17847.991076006692</v>
      </c>
      <c r="R372">
        <v>500</v>
      </c>
      <c r="S372">
        <v>18.847991076006693</v>
      </c>
      <c r="T372">
        <v>0</v>
      </c>
      <c r="U372">
        <v>0</v>
      </c>
      <c r="V372">
        <v>0</v>
      </c>
    </row>
    <row r="373" spans="1:22" x14ac:dyDescent="0.25">
      <c r="A373"/>
      <c r="B373">
        <v>11320</v>
      </c>
      <c r="C373" t="s">
        <v>420</v>
      </c>
      <c r="D373" t="s">
        <v>47</v>
      </c>
      <c r="E373" t="s">
        <v>436</v>
      </c>
      <c r="F373" t="s">
        <v>101</v>
      </c>
      <c r="G373">
        <v>17869</v>
      </c>
      <c r="H373" t="s">
        <v>451</v>
      </c>
      <c r="I373">
        <v>0</v>
      </c>
      <c r="J373">
        <v>0</v>
      </c>
      <c r="K373">
        <v>0</v>
      </c>
      <c r="L373">
        <v>0</v>
      </c>
      <c r="M373" t="s">
        <v>101</v>
      </c>
      <c r="N373">
        <v>17869</v>
      </c>
      <c r="O373" t="s">
        <v>451</v>
      </c>
      <c r="P373" t="b">
        <v>1</v>
      </c>
      <c r="Q373">
        <v>17868.9910655067</v>
      </c>
      <c r="R373">
        <v>500</v>
      </c>
      <c r="S373">
        <v>18.868991065506698</v>
      </c>
      <c r="T373">
        <v>0</v>
      </c>
      <c r="U373">
        <v>0</v>
      </c>
      <c r="V373">
        <v>0</v>
      </c>
    </row>
    <row r="374" spans="1:22" x14ac:dyDescent="0.25">
      <c r="A374"/>
      <c r="B374">
        <v>11321</v>
      </c>
      <c r="C374" t="s">
        <v>421</v>
      </c>
      <c r="D374" t="s">
        <v>47</v>
      </c>
      <c r="E374" t="s">
        <v>436</v>
      </c>
      <c r="F374" t="s">
        <v>101</v>
      </c>
      <c r="G374">
        <v>17998.080000000002</v>
      </c>
      <c r="H374" t="s">
        <v>451</v>
      </c>
      <c r="I374">
        <v>0</v>
      </c>
      <c r="J374">
        <v>0</v>
      </c>
      <c r="K374">
        <v>0</v>
      </c>
      <c r="L374">
        <v>0</v>
      </c>
      <c r="M374" t="s">
        <v>101</v>
      </c>
      <c r="N374">
        <v>17998.080000000002</v>
      </c>
      <c r="O374" t="s">
        <v>451</v>
      </c>
      <c r="P374" t="b">
        <v>1</v>
      </c>
      <c r="Q374">
        <v>17998.071000966749</v>
      </c>
      <c r="R374">
        <v>500</v>
      </c>
      <c r="S374">
        <v>18.99807100096675</v>
      </c>
      <c r="T374">
        <v>0</v>
      </c>
      <c r="U374">
        <v>0</v>
      </c>
      <c r="V374">
        <v>0</v>
      </c>
    </row>
    <row r="375" spans="1:22" x14ac:dyDescent="0.25">
      <c r="A375"/>
      <c r="B375">
        <v>11322</v>
      </c>
      <c r="C375" t="s">
        <v>422</v>
      </c>
      <c r="D375" t="s">
        <v>47</v>
      </c>
      <c r="E375" t="s">
        <v>436</v>
      </c>
      <c r="F375" t="s">
        <v>101</v>
      </c>
      <c r="G375">
        <v>18061.729999999901</v>
      </c>
      <c r="H375" t="s">
        <v>451</v>
      </c>
      <c r="I375">
        <v>0</v>
      </c>
      <c r="J375">
        <v>0</v>
      </c>
      <c r="K375">
        <v>0</v>
      </c>
      <c r="L375">
        <v>0</v>
      </c>
      <c r="M375" t="s">
        <v>101</v>
      </c>
      <c r="N375">
        <v>18061.729999999901</v>
      </c>
      <c r="O375" t="s">
        <v>451</v>
      </c>
      <c r="P375" t="b">
        <v>1</v>
      </c>
      <c r="Q375">
        <v>18061.720969141672</v>
      </c>
      <c r="R375">
        <v>500</v>
      </c>
      <c r="S375">
        <v>19.061720969141675</v>
      </c>
      <c r="T375">
        <v>0</v>
      </c>
      <c r="U375">
        <v>0</v>
      </c>
      <c r="V375">
        <v>0</v>
      </c>
    </row>
    <row r="376" spans="1:22" x14ac:dyDescent="0.25">
      <c r="A376"/>
      <c r="B376">
        <v>11323</v>
      </c>
      <c r="C376" t="s">
        <v>423</v>
      </c>
      <c r="D376" t="s">
        <v>47</v>
      </c>
      <c r="E376" t="s">
        <v>436</v>
      </c>
      <c r="F376" t="s">
        <v>101</v>
      </c>
      <c r="G376">
        <v>18107.569999999901</v>
      </c>
      <c r="H376" t="s">
        <v>451</v>
      </c>
      <c r="I376">
        <v>0</v>
      </c>
      <c r="J376">
        <v>0</v>
      </c>
      <c r="K376">
        <v>0</v>
      </c>
      <c r="L376">
        <v>0</v>
      </c>
      <c r="M376" t="s">
        <v>101</v>
      </c>
      <c r="N376">
        <v>18107.569999999901</v>
      </c>
      <c r="O376" t="s">
        <v>451</v>
      </c>
      <c r="P376" t="b">
        <v>1</v>
      </c>
      <c r="Q376">
        <v>18107.560946221693</v>
      </c>
      <c r="R376">
        <v>500</v>
      </c>
      <c r="S376">
        <v>19.107560946221689</v>
      </c>
      <c r="T376">
        <v>0</v>
      </c>
      <c r="U376">
        <v>0</v>
      </c>
      <c r="V376">
        <v>0</v>
      </c>
    </row>
    <row r="377" spans="1:22" x14ac:dyDescent="0.25">
      <c r="A377"/>
      <c r="B377">
        <v>11324</v>
      </c>
      <c r="C377" t="s">
        <v>424</v>
      </c>
      <c r="D377" t="s">
        <v>47</v>
      </c>
      <c r="E377" t="s">
        <v>436</v>
      </c>
      <c r="F377" t="s">
        <v>101</v>
      </c>
      <c r="G377">
        <v>18171.209999999901</v>
      </c>
      <c r="H377" t="s">
        <v>451</v>
      </c>
      <c r="I377">
        <v>0</v>
      </c>
      <c r="J377">
        <v>0</v>
      </c>
      <c r="K377">
        <v>0</v>
      </c>
      <c r="L377">
        <v>0</v>
      </c>
      <c r="M377" t="s">
        <v>101</v>
      </c>
      <c r="N377">
        <v>18171.209999999901</v>
      </c>
      <c r="O377" t="s">
        <v>451</v>
      </c>
      <c r="P377" t="b">
        <v>1</v>
      </c>
      <c r="Q377">
        <v>18171.200914401714</v>
      </c>
      <c r="R377">
        <v>500</v>
      </c>
      <c r="S377">
        <v>19.171200914401716</v>
      </c>
      <c r="T377">
        <v>0</v>
      </c>
      <c r="U377">
        <v>0</v>
      </c>
      <c r="V377">
        <v>0</v>
      </c>
    </row>
    <row r="378" spans="1:22" x14ac:dyDescent="0.25">
      <c r="A378"/>
      <c r="B378">
        <v>11325</v>
      </c>
      <c r="C378" t="s">
        <v>427</v>
      </c>
      <c r="D378" t="s">
        <v>426</v>
      </c>
      <c r="E378" t="s">
        <v>436</v>
      </c>
      <c r="F378" t="s">
        <v>101</v>
      </c>
      <c r="G378">
        <v>18234.8499999999</v>
      </c>
      <c r="H378" t="s">
        <v>451</v>
      </c>
      <c r="I378">
        <v>0</v>
      </c>
      <c r="J378">
        <v>0</v>
      </c>
      <c r="K378">
        <v>0</v>
      </c>
      <c r="L378">
        <v>0</v>
      </c>
      <c r="M378" t="s">
        <v>101</v>
      </c>
      <c r="N378">
        <v>18234.8499999999</v>
      </c>
      <c r="O378" t="s">
        <v>451</v>
      </c>
      <c r="P378" t="b">
        <v>1</v>
      </c>
      <c r="Q378">
        <v>18234.840882581739</v>
      </c>
      <c r="R378">
        <v>500</v>
      </c>
      <c r="S378">
        <v>19.234840882581736</v>
      </c>
      <c r="T378">
        <v>0</v>
      </c>
      <c r="U378">
        <v>0</v>
      </c>
      <c r="V378">
        <v>0</v>
      </c>
    </row>
    <row r="379" spans="1:22" x14ac:dyDescent="0.25">
      <c r="A379"/>
    </row>
    <row r="380" spans="1:22" x14ac:dyDescent="0.25">
      <c r="A380"/>
    </row>
    <row r="381" spans="1:22" x14ac:dyDescent="0.25">
      <c r="A38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B22B-C2C1-4F45-B919-AA2C50373DD8}">
  <dimension ref="A1:Z130"/>
  <sheetViews>
    <sheetView tabSelected="1" zoomScaleNormal="100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I7" sqref="I7:I332"/>
    </sheetView>
  </sheetViews>
  <sheetFormatPr defaultColWidth="9.109375" defaultRowHeight="13.2" x14ac:dyDescent="0.25"/>
  <cols>
    <col min="1" max="1" width="9.109375" style="53"/>
    <col min="2" max="2" width="6" bestFit="1" customWidth="1"/>
    <col min="3" max="3" width="31.88671875" style="26" bestFit="1" customWidth="1"/>
    <col min="4" max="4" width="31.109375" bestFit="1" customWidth="1"/>
    <col min="5" max="5" width="12.33203125" bestFit="1" customWidth="1"/>
    <col min="6" max="6" width="8.109375" bestFit="1" customWidth="1"/>
    <col min="7" max="7" width="9.109375" customWidth="1"/>
    <col min="8" max="8" width="13.109375" bestFit="1" customWidth="1"/>
    <col min="9" max="9" width="6" customWidth="1"/>
    <col min="10" max="10" width="11.109375" bestFit="1" customWidth="1"/>
    <col min="11" max="11" width="20.88671875" bestFit="1" customWidth="1"/>
    <col min="12" max="12" width="7.5546875" customWidth="1"/>
    <col min="13" max="13" width="5.109375" bestFit="1" customWidth="1"/>
    <col min="14" max="14" width="4.5546875" bestFit="1" customWidth="1"/>
    <col min="15" max="15" width="8.109375" customWidth="1"/>
    <col min="16" max="16" width="5.44140625" customWidth="1"/>
    <col min="17" max="17" width="11.44140625" bestFit="1" customWidth="1"/>
    <col min="18" max="18" width="9.88671875" style="31" customWidth="1"/>
    <col min="19" max="19" width="7.33203125" bestFit="1" customWidth="1"/>
    <col min="20" max="20" width="6" bestFit="1" customWidth="1"/>
    <col min="21" max="21" width="12.88671875" bestFit="1" customWidth="1"/>
    <col min="24" max="24" width="11" bestFit="1" customWidth="1"/>
    <col min="253" max="253" width="36.44140625" customWidth="1"/>
    <col min="254" max="254" width="29.44140625" customWidth="1"/>
    <col min="509" max="509" width="36.44140625" customWidth="1"/>
    <col min="510" max="510" width="29.44140625" customWidth="1"/>
    <col min="765" max="765" width="36.44140625" customWidth="1"/>
    <col min="766" max="766" width="29.44140625" customWidth="1"/>
    <col min="1021" max="1021" width="36.44140625" customWidth="1"/>
    <col min="1022" max="1022" width="29.44140625" customWidth="1"/>
    <col min="1277" max="1277" width="36.44140625" customWidth="1"/>
    <col min="1278" max="1278" width="29.44140625" customWidth="1"/>
    <col min="1533" max="1533" width="36.44140625" customWidth="1"/>
    <col min="1534" max="1534" width="29.44140625" customWidth="1"/>
    <col min="1789" max="1789" width="36.44140625" customWidth="1"/>
    <col min="1790" max="1790" width="29.44140625" customWidth="1"/>
    <col min="2045" max="2045" width="36.44140625" customWidth="1"/>
    <col min="2046" max="2046" width="29.44140625" customWidth="1"/>
    <col min="2301" max="2301" width="36.44140625" customWidth="1"/>
    <col min="2302" max="2302" width="29.44140625" customWidth="1"/>
    <col min="2557" max="2557" width="36.44140625" customWidth="1"/>
    <col min="2558" max="2558" width="29.44140625" customWidth="1"/>
    <col min="2813" max="2813" width="36.44140625" customWidth="1"/>
    <col min="2814" max="2814" width="29.44140625" customWidth="1"/>
    <col min="3069" max="3069" width="36.44140625" customWidth="1"/>
    <col min="3070" max="3070" width="29.44140625" customWidth="1"/>
    <col min="3325" max="3325" width="36.44140625" customWidth="1"/>
    <col min="3326" max="3326" width="29.44140625" customWidth="1"/>
    <col min="3581" max="3581" width="36.44140625" customWidth="1"/>
    <col min="3582" max="3582" width="29.44140625" customWidth="1"/>
    <col min="3837" max="3837" width="36.44140625" customWidth="1"/>
    <col min="3838" max="3838" width="29.44140625" customWidth="1"/>
    <col min="4093" max="4093" width="36.44140625" customWidth="1"/>
    <col min="4094" max="4094" width="29.44140625" customWidth="1"/>
    <col min="4349" max="4349" width="36.44140625" customWidth="1"/>
    <col min="4350" max="4350" width="29.44140625" customWidth="1"/>
    <col min="4605" max="4605" width="36.44140625" customWidth="1"/>
    <col min="4606" max="4606" width="29.44140625" customWidth="1"/>
    <col min="4861" max="4861" width="36.44140625" customWidth="1"/>
    <col min="4862" max="4862" width="29.44140625" customWidth="1"/>
    <col min="5117" max="5117" width="36.44140625" customWidth="1"/>
    <col min="5118" max="5118" width="29.44140625" customWidth="1"/>
    <col min="5373" max="5373" width="36.44140625" customWidth="1"/>
    <col min="5374" max="5374" width="29.44140625" customWidth="1"/>
    <col min="5629" max="5629" width="36.44140625" customWidth="1"/>
    <col min="5630" max="5630" width="29.44140625" customWidth="1"/>
    <col min="5885" max="5885" width="36.44140625" customWidth="1"/>
    <col min="5886" max="5886" width="29.44140625" customWidth="1"/>
    <col min="6141" max="6141" width="36.44140625" customWidth="1"/>
    <col min="6142" max="6142" width="29.44140625" customWidth="1"/>
    <col min="6397" max="6397" width="36.44140625" customWidth="1"/>
    <col min="6398" max="6398" width="29.44140625" customWidth="1"/>
    <col min="6653" max="6653" width="36.44140625" customWidth="1"/>
    <col min="6654" max="6654" width="29.44140625" customWidth="1"/>
    <col min="6909" max="6909" width="36.44140625" customWidth="1"/>
    <col min="6910" max="6910" width="29.44140625" customWidth="1"/>
    <col min="7165" max="7165" width="36.44140625" customWidth="1"/>
    <col min="7166" max="7166" width="29.44140625" customWidth="1"/>
    <col min="7421" max="7421" width="36.44140625" customWidth="1"/>
    <col min="7422" max="7422" width="29.44140625" customWidth="1"/>
    <col min="7677" max="7677" width="36.44140625" customWidth="1"/>
    <col min="7678" max="7678" width="29.44140625" customWidth="1"/>
    <col min="7933" max="7933" width="36.44140625" customWidth="1"/>
    <col min="7934" max="7934" width="29.44140625" customWidth="1"/>
    <col min="8189" max="8189" width="36.44140625" customWidth="1"/>
    <col min="8190" max="8190" width="29.44140625" customWidth="1"/>
    <col min="8445" max="8445" width="36.44140625" customWidth="1"/>
    <col min="8446" max="8446" width="29.44140625" customWidth="1"/>
    <col min="8701" max="8701" width="36.44140625" customWidth="1"/>
    <col min="8702" max="8702" width="29.44140625" customWidth="1"/>
    <col min="8957" max="8957" width="36.44140625" customWidth="1"/>
    <col min="8958" max="8958" width="29.44140625" customWidth="1"/>
    <col min="9213" max="9213" width="36.44140625" customWidth="1"/>
    <col min="9214" max="9214" width="29.44140625" customWidth="1"/>
    <col min="9469" max="9469" width="36.44140625" customWidth="1"/>
    <col min="9470" max="9470" width="29.44140625" customWidth="1"/>
    <col min="9725" max="9725" width="36.44140625" customWidth="1"/>
    <col min="9726" max="9726" width="29.44140625" customWidth="1"/>
    <col min="9981" max="9981" width="36.44140625" customWidth="1"/>
    <col min="9982" max="9982" width="29.44140625" customWidth="1"/>
    <col min="10237" max="10237" width="36.44140625" customWidth="1"/>
    <col min="10238" max="10238" width="29.44140625" customWidth="1"/>
    <col min="10493" max="10493" width="36.44140625" customWidth="1"/>
    <col min="10494" max="10494" width="29.44140625" customWidth="1"/>
    <col min="10749" max="10749" width="36.44140625" customWidth="1"/>
    <col min="10750" max="10750" width="29.44140625" customWidth="1"/>
    <col min="11005" max="11005" width="36.44140625" customWidth="1"/>
    <col min="11006" max="11006" width="29.44140625" customWidth="1"/>
    <col min="11261" max="11261" width="36.44140625" customWidth="1"/>
    <col min="11262" max="11262" width="29.44140625" customWidth="1"/>
    <col min="11517" max="11517" width="36.44140625" customWidth="1"/>
    <col min="11518" max="11518" width="29.44140625" customWidth="1"/>
    <col min="11773" max="11773" width="36.44140625" customWidth="1"/>
    <col min="11774" max="11774" width="29.44140625" customWidth="1"/>
    <col min="12029" max="12029" width="36.44140625" customWidth="1"/>
    <col min="12030" max="12030" width="29.44140625" customWidth="1"/>
    <col min="12285" max="12285" width="36.44140625" customWidth="1"/>
    <col min="12286" max="12286" width="29.44140625" customWidth="1"/>
    <col min="12541" max="12541" width="36.44140625" customWidth="1"/>
    <col min="12542" max="12542" width="29.44140625" customWidth="1"/>
    <col min="12797" max="12797" width="36.44140625" customWidth="1"/>
    <col min="12798" max="12798" width="29.44140625" customWidth="1"/>
    <col min="13053" max="13053" width="36.44140625" customWidth="1"/>
    <col min="13054" max="13054" width="29.44140625" customWidth="1"/>
    <col min="13309" max="13309" width="36.44140625" customWidth="1"/>
    <col min="13310" max="13310" width="29.44140625" customWidth="1"/>
    <col min="13565" max="13565" width="36.44140625" customWidth="1"/>
    <col min="13566" max="13566" width="29.44140625" customWidth="1"/>
    <col min="13821" max="13821" width="36.44140625" customWidth="1"/>
    <col min="13822" max="13822" width="29.44140625" customWidth="1"/>
    <col min="14077" max="14077" width="36.44140625" customWidth="1"/>
    <col min="14078" max="14078" width="29.44140625" customWidth="1"/>
    <col min="14333" max="14333" width="36.44140625" customWidth="1"/>
    <col min="14334" max="14334" width="29.44140625" customWidth="1"/>
    <col min="14589" max="14589" width="36.44140625" customWidth="1"/>
    <col min="14590" max="14590" width="29.44140625" customWidth="1"/>
    <col min="14845" max="14845" width="36.44140625" customWidth="1"/>
    <col min="14846" max="14846" width="29.44140625" customWidth="1"/>
    <col min="15101" max="15101" width="36.44140625" customWidth="1"/>
    <col min="15102" max="15102" width="29.44140625" customWidth="1"/>
    <col min="15357" max="15357" width="36.44140625" customWidth="1"/>
    <col min="15358" max="15358" width="29.44140625" customWidth="1"/>
    <col min="15613" max="15613" width="36.44140625" customWidth="1"/>
    <col min="15614" max="15614" width="29.44140625" customWidth="1"/>
    <col min="15869" max="15869" width="36.44140625" customWidth="1"/>
    <col min="15870" max="15870" width="29.44140625" customWidth="1"/>
    <col min="16125" max="16125" width="36.44140625" customWidth="1"/>
    <col min="16126" max="16126" width="29.44140625" customWidth="1"/>
  </cols>
  <sheetData>
    <row r="1" spans="1:26" s="25" customFormat="1" ht="13.8" x14ac:dyDescent="0.25">
      <c r="A1" s="24"/>
      <c r="C1" s="26"/>
      <c r="D1" s="27" t="s">
        <v>40</v>
      </c>
      <c r="E1" s="27">
        <v>1</v>
      </c>
      <c r="M1" s="28"/>
      <c r="R1" s="29"/>
    </row>
    <row r="2" spans="1:26" x14ac:dyDescent="0.25">
      <c r="M2" s="30"/>
    </row>
    <row r="3" spans="1:26" s="9" customFormat="1" x14ac:dyDescent="0.25">
      <c r="A3" s="57" t="s">
        <v>1</v>
      </c>
      <c r="B3" s="8" t="s">
        <v>14</v>
      </c>
      <c r="C3" s="8" t="s">
        <v>2</v>
      </c>
      <c r="D3" s="15"/>
      <c r="E3" s="20"/>
      <c r="F3" s="22"/>
      <c r="G3" s="22"/>
      <c r="H3" s="23"/>
      <c r="I3" s="10"/>
      <c r="J3" s="11"/>
      <c r="K3" s="11"/>
      <c r="L3" s="12"/>
      <c r="M3" s="13"/>
      <c r="N3" s="14"/>
      <c r="O3" s="12"/>
      <c r="P3" s="12"/>
      <c r="Q3" s="12"/>
      <c r="R3" s="32"/>
    </row>
    <row r="4" spans="1:26" s="9" customFormat="1" x14ac:dyDescent="0.25">
      <c r="A4" s="58" t="s">
        <v>15</v>
      </c>
      <c r="B4" s="38">
        <v>10050</v>
      </c>
      <c r="C4" t="s">
        <v>71</v>
      </c>
      <c r="D4" s="15"/>
      <c r="E4"/>
      <c r="F4" s="22"/>
      <c r="G4" s="22"/>
      <c r="H4" s="23"/>
      <c r="I4" s="10"/>
      <c r="J4" s="11"/>
      <c r="K4" s="11"/>
      <c r="L4" s="12"/>
      <c r="M4" s="13"/>
      <c r="N4" s="14"/>
      <c r="O4" s="12"/>
      <c r="P4" s="12"/>
      <c r="Q4" s="12"/>
      <c r="R4" s="32"/>
    </row>
    <row r="5" spans="1:26" x14ac:dyDescent="0.25">
      <c r="A5" s="58"/>
      <c r="M5" s="30"/>
    </row>
    <row r="6" spans="1:26" ht="39.6" x14ac:dyDescent="0.25">
      <c r="A6" s="52" t="s">
        <v>1</v>
      </c>
      <c r="B6" s="16" t="s">
        <v>14</v>
      </c>
      <c r="C6" s="16" t="s">
        <v>2</v>
      </c>
      <c r="D6" s="16" t="s">
        <v>8</v>
      </c>
      <c r="E6" s="16" t="s">
        <v>27</v>
      </c>
      <c r="F6" s="33" t="s">
        <v>41</v>
      </c>
      <c r="G6" s="34" t="s">
        <v>42</v>
      </c>
      <c r="H6" s="35" t="s">
        <v>43</v>
      </c>
      <c r="I6" s="17" t="s">
        <v>16</v>
      </c>
      <c r="J6" s="18" t="s">
        <v>9</v>
      </c>
      <c r="K6" s="18" t="s">
        <v>17</v>
      </c>
      <c r="L6" s="16" t="s">
        <v>18</v>
      </c>
      <c r="M6" s="19" t="s">
        <v>19</v>
      </c>
      <c r="N6" s="21" t="s">
        <v>20</v>
      </c>
      <c r="O6" s="16" t="s">
        <v>21</v>
      </c>
      <c r="P6" s="16" t="s">
        <v>22</v>
      </c>
      <c r="Q6" s="16" t="s">
        <v>23</v>
      </c>
      <c r="R6" s="16" t="s">
        <v>75</v>
      </c>
      <c r="S6" s="16" t="s">
        <v>76</v>
      </c>
      <c r="T6" s="16" t="s">
        <v>77</v>
      </c>
      <c r="U6" s="16" t="s">
        <v>24</v>
      </c>
      <c r="V6" s="16" t="s">
        <v>28</v>
      </c>
      <c r="W6" s="16" t="s">
        <v>29</v>
      </c>
      <c r="X6" s="16" t="s">
        <v>25</v>
      </c>
      <c r="Y6" s="16" t="s">
        <v>44</v>
      </c>
      <c r="Z6" s="16" t="s">
        <v>45</v>
      </c>
    </row>
    <row r="7" spans="1:26" x14ac:dyDescent="0.25">
      <c r="A7" s="59" t="s">
        <v>26</v>
      </c>
      <c r="B7" s="38">
        <v>10000</v>
      </c>
      <c r="C7" s="26" t="str">
        <f>D7</f>
        <v>Buffer_Stop</v>
      </c>
      <c r="D7" s="36" t="s">
        <v>46</v>
      </c>
      <c r="E7" s="36" t="s">
        <v>70</v>
      </c>
      <c r="G7">
        <v>500</v>
      </c>
      <c r="H7" s="37">
        <f>G7</f>
        <v>500</v>
      </c>
      <c r="I7" s="60">
        <f>IF("generated"=1, "Path=START_to_LEV1, Scaled Offset=500", 500)</f>
        <v>500</v>
      </c>
      <c r="M7">
        <v>0</v>
      </c>
      <c r="S7" s="31" t="s">
        <v>74</v>
      </c>
      <c r="T7" s="31">
        <v>12345</v>
      </c>
    </row>
    <row r="8" spans="1:26" x14ac:dyDescent="0.25">
      <c r="A8" s="59" t="s">
        <v>26</v>
      </c>
      <c r="B8" s="38">
        <v>10001</v>
      </c>
      <c r="C8" s="26" t="str">
        <f t="shared" ref="C8:C32" si="0">D8</f>
        <v>CBTC Beacon</v>
      </c>
      <c r="D8" s="36" t="s">
        <v>47</v>
      </c>
      <c r="E8" s="36" t="s">
        <v>70</v>
      </c>
      <c r="G8">
        <f>G7+5</f>
        <v>505</v>
      </c>
      <c r="H8" s="37">
        <f t="shared" ref="H8:H44" si="1">G8</f>
        <v>505</v>
      </c>
      <c r="I8" s="60">
        <f>IF("generated"=1, "Path=START_to_LEV1, Scaled Offset=505", 505)</f>
        <v>505</v>
      </c>
      <c r="M8">
        <v>0</v>
      </c>
    </row>
    <row r="9" spans="1:26" x14ac:dyDescent="0.25">
      <c r="A9" s="59" t="s">
        <v>26</v>
      </c>
      <c r="B9" s="38">
        <v>10002</v>
      </c>
      <c r="C9" s="26" t="str">
        <f t="shared" si="0"/>
        <v>Main_Line_Signal_Long</v>
      </c>
      <c r="D9" s="36" t="s">
        <v>48</v>
      </c>
      <c r="E9" s="36" t="s">
        <v>70</v>
      </c>
      <c r="G9">
        <f t="shared" ref="G9:G35" si="2">G8+5</f>
        <v>510</v>
      </c>
      <c r="H9" s="37">
        <f t="shared" si="1"/>
        <v>510</v>
      </c>
      <c r="I9" s="60">
        <f>IF("generated"=1, "Path=START_to_LEV1, Scaled Offset=510", 510)</f>
        <v>510</v>
      </c>
      <c r="M9">
        <v>3</v>
      </c>
      <c r="S9" s="31" t="s">
        <v>74</v>
      </c>
      <c r="T9" s="31">
        <v>12345</v>
      </c>
    </row>
    <row r="10" spans="1:26" x14ac:dyDescent="0.25">
      <c r="A10" s="59" t="s">
        <v>26</v>
      </c>
      <c r="B10" s="38">
        <v>10003</v>
      </c>
      <c r="C10" s="26" t="str">
        <f>D10</f>
        <v>Route_Indicator</v>
      </c>
      <c r="D10" s="36" t="s">
        <v>50</v>
      </c>
      <c r="E10" s="36" t="s">
        <v>70</v>
      </c>
      <c r="H10" s="37"/>
      <c r="I10">
        <v>0</v>
      </c>
      <c r="K10" t="s">
        <v>48</v>
      </c>
      <c r="M10">
        <f>M9</f>
        <v>3</v>
      </c>
      <c r="N10">
        <v>3.8</v>
      </c>
      <c r="S10" s="31" t="s">
        <v>74</v>
      </c>
      <c r="T10" s="31">
        <v>12345</v>
      </c>
    </row>
    <row r="11" spans="1:26" x14ac:dyDescent="0.25">
      <c r="A11" s="59" t="s">
        <v>26</v>
      </c>
      <c r="B11" s="38">
        <v>10004</v>
      </c>
      <c r="C11" s="26" t="str">
        <f t="shared" si="0"/>
        <v>Main_Line_Signal_Short</v>
      </c>
      <c r="D11" s="36" t="s">
        <v>49</v>
      </c>
      <c r="E11" s="36" t="s">
        <v>70</v>
      </c>
      <c r="G11">
        <f>G9+5</f>
        <v>515</v>
      </c>
      <c r="H11" s="37">
        <f t="shared" si="1"/>
        <v>515</v>
      </c>
      <c r="I11" s="60">
        <f>IF("generated"=1, "Path=START_to_LEV1, Scaled Offset=515", 515)</f>
        <v>515</v>
      </c>
      <c r="M11">
        <v>3</v>
      </c>
      <c r="S11" s="31"/>
      <c r="T11" s="31">
        <v>12345</v>
      </c>
    </row>
    <row r="12" spans="1:26" x14ac:dyDescent="0.25">
      <c r="A12" s="59" t="s">
        <v>26</v>
      </c>
      <c r="B12" s="38">
        <v>10005</v>
      </c>
      <c r="C12" s="26" t="str">
        <f t="shared" si="0"/>
        <v>Shunt_Signal</v>
      </c>
      <c r="D12" s="36" t="s">
        <v>51</v>
      </c>
      <c r="E12" s="36" t="s">
        <v>70</v>
      </c>
      <c r="H12" s="37"/>
      <c r="I12">
        <v>520</v>
      </c>
      <c r="M12">
        <v>3</v>
      </c>
      <c r="S12" s="31" t="s">
        <v>74</v>
      </c>
      <c r="T12" s="31"/>
    </row>
    <row r="13" spans="1:26" x14ac:dyDescent="0.25">
      <c r="A13" s="59" t="s">
        <v>26</v>
      </c>
      <c r="B13" s="38">
        <v>10006</v>
      </c>
      <c r="C13" s="26" t="str">
        <f t="shared" si="0"/>
        <v>Shunt_Signal_Attach</v>
      </c>
      <c r="D13" s="36" t="s">
        <v>52</v>
      </c>
      <c r="E13" s="36" t="s">
        <v>70</v>
      </c>
      <c r="G13">
        <f>G11+5</f>
        <v>520</v>
      </c>
      <c r="H13" s="37">
        <f t="shared" si="1"/>
        <v>520</v>
      </c>
      <c r="I13">
        <v>0</v>
      </c>
      <c r="K13" t="s">
        <v>48</v>
      </c>
      <c r="M13">
        <v>3</v>
      </c>
      <c r="N13">
        <v>1.5</v>
      </c>
      <c r="S13" s="31"/>
      <c r="T13" s="31"/>
    </row>
    <row r="14" spans="1:26" x14ac:dyDescent="0.25">
      <c r="A14" s="59" t="s">
        <v>26</v>
      </c>
      <c r="B14" s="38">
        <v>10007</v>
      </c>
      <c r="C14" s="26" t="str">
        <f>D14&amp;"_"&amp;Q14</f>
        <v>2A_Board_Start</v>
      </c>
      <c r="D14" s="36" t="s">
        <v>53</v>
      </c>
      <c r="E14" s="36" t="s">
        <v>70</v>
      </c>
      <c r="G14">
        <f t="shared" si="2"/>
        <v>525</v>
      </c>
      <c r="H14" s="37">
        <f t="shared" si="1"/>
        <v>525</v>
      </c>
      <c r="I14" s="60">
        <f>IF("generated"=1, "Path=START_to_LEV1, Scaled Offset=525", 525)</f>
        <v>525</v>
      </c>
      <c r="M14">
        <v>-3</v>
      </c>
      <c r="N14">
        <v>1</v>
      </c>
      <c r="Q14" t="s">
        <v>68</v>
      </c>
    </row>
    <row r="15" spans="1:26" x14ac:dyDescent="0.25">
      <c r="A15" s="59" t="s">
        <v>26</v>
      </c>
      <c r="B15" s="38">
        <v>10008</v>
      </c>
      <c r="C15" s="26" t="str">
        <f>D15&amp;"_"&amp;Q15</f>
        <v>2A_Board_End</v>
      </c>
      <c r="D15" s="36" t="s">
        <v>53</v>
      </c>
      <c r="E15" s="36" t="s">
        <v>70</v>
      </c>
      <c r="G15">
        <v>525</v>
      </c>
      <c r="H15" s="37">
        <f t="shared" ref="H15" si="3">G15</f>
        <v>525</v>
      </c>
      <c r="I15" s="60">
        <f>IF("generated"=1, "Path=START_to_LEV1, Scaled Offset=525", 525)</f>
        <v>525</v>
      </c>
      <c r="M15">
        <v>3</v>
      </c>
      <c r="N15">
        <v>1</v>
      </c>
      <c r="Q15" t="s">
        <v>72</v>
      </c>
    </row>
    <row r="16" spans="1:26" x14ac:dyDescent="0.25">
      <c r="A16" s="59" t="s">
        <v>26</v>
      </c>
      <c r="B16" s="38">
        <v>10009</v>
      </c>
      <c r="C16" s="26" t="str">
        <f>D16&amp;"_"&amp;Q16</f>
        <v>2B_Board_Start</v>
      </c>
      <c r="D16" s="36" t="s">
        <v>54</v>
      </c>
      <c r="E16" s="36" t="s">
        <v>70</v>
      </c>
      <c r="G16">
        <f>G14+5</f>
        <v>530</v>
      </c>
      <c r="H16" s="37">
        <f t="shared" si="1"/>
        <v>530</v>
      </c>
      <c r="I16" s="60">
        <f>IF("generated"=1, "Path=START_to_LEV1, Scaled Offset=530", 530)</f>
        <v>530</v>
      </c>
      <c r="M16">
        <v>-3</v>
      </c>
      <c r="N16">
        <v>1</v>
      </c>
      <c r="Q16" t="s">
        <v>68</v>
      </c>
    </row>
    <row r="17" spans="1:26" x14ac:dyDescent="0.25">
      <c r="A17" s="59" t="s">
        <v>26</v>
      </c>
      <c r="B17" s="38">
        <v>10010</v>
      </c>
      <c r="C17" s="26" t="str">
        <f>D17&amp;"_"&amp;Q17</f>
        <v>2B_Board_End</v>
      </c>
      <c r="D17" s="36" t="s">
        <v>54</v>
      </c>
      <c r="E17" s="36" t="s">
        <v>70</v>
      </c>
      <c r="G17">
        <f>G15+5</f>
        <v>530</v>
      </c>
      <c r="H17" s="37">
        <f t="shared" ref="H17" si="4">G17</f>
        <v>530</v>
      </c>
      <c r="I17" s="60">
        <f>IF("generated"=1, "Path=START_to_LEV1, Scaled Offset=530", 530)</f>
        <v>530</v>
      </c>
      <c r="M17">
        <v>3</v>
      </c>
      <c r="N17">
        <v>1</v>
      </c>
      <c r="Q17" t="s">
        <v>72</v>
      </c>
    </row>
    <row r="18" spans="1:26" x14ac:dyDescent="0.25">
      <c r="A18" s="59" t="s">
        <v>26</v>
      </c>
      <c r="B18" s="38">
        <v>10011</v>
      </c>
      <c r="C18" s="26" t="str">
        <f>D18</f>
        <v>ATC_Begins_Marker_Board</v>
      </c>
      <c r="D18" s="36" t="s">
        <v>55</v>
      </c>
      <c r="E18" s="36" t="s">
        <v>70</v>
      </c>
      <c r="G18">
        <f>G16+5</f>
        <v>535</v>
      </c>
      <c r="H18" s="37">
        <f t="shared" si="1"/>
        <v>535</v>
      </c>
      <c r="I18" s="60">
        <f>IF("generated"=1, "Path=START_to_LEV1, Scaled Offset=535", 535)</f>
        <v>535</v>
      </c>
      <c r="M18">
        <v>-3</v>
      </c>
      <c r="N18">
        <v>1</v>
      </c>
    </row>
    <row r="19" spans="1:26" x14ac:dyDescent="0.25">
      <c r="A19" s="59" t="s">
        <v>26</v>
      </c>
      <c r="B19" s="38">
        <v>10012</v>
      </c>
      <c r="C19" s="26" t="str">
        <f t="shared" si="0"/>
        <v>Depot_Exit_Board</v>
      </c>
      <c r="D19" s="36" t="s">
        <v>56</v>
      </c>
      <c r="E19" s="36" t="s">
        <v>70</v>
      </c>
      <c r="G19">
        <f>G18+5</f>
        <v>540</v>
      </c>
      <c r="H19" s="37">
        <f t="shared" si="1"/>
        <v>540</v>
      </c>
      <c r="I19" s="60">
        <f>IF("generated"=1, "Path=START_to_LEV1, Scaled Offset=540", 540)</f>
        <v>540</v>
      </c>
      <c r="M19">
        <v>3</v>
      </c>
      <c r="N19">
        <v>1</v>
      </c>
    </row>
    <row r="20" spans="1:26" x14ac:dyDescent="0.25">
      <c r="A20" s="59" t="s">
        <v>26</v>
      </c>
      <c r="B20" s="38">
        <v>10013</v>
      </c>
      <c r="C20" s="26" t="str">
        <f t="shared" si="0"/>
        <v>Fouling_Mark</v>
      </c>
      <c r="D20" s="36" t="s">
        <v>57</v>
      </c>
      <c r="E20" s="36" t="s">
        <v>70</v>
      </c>
      <c r="G20">
        <f t="shared" si="2"/>
        <v>545</v>
      </c>
      <c r="H20" s="37">
        <f t="shared" si="1"/>
        <v>545</v>
      </c>
      <c r="I20" s="60">
        <f>IF("generated"=1, "Path=START_to_LEV1, Scaled Offset=545", 545)</f>
        <v>545</v>
      </c>
      <c r="M20">
        <v>0</v>
      </c>
    </row>
    <row r="21" spans="1:26" x14ac:dyDescent="0.25">
      <c r="A21" s="59" t="s">
        <v>26</v>
      </c>
      <c r="B21" s="38">
        <v>10014</v>
      </c>
      <c r="C21" s="26" t="str">
        <f t="shared" si="0"/>
        <v>Fouling_Mark_FM</v>
      </c>
      <c r="D21" s="36" t="s">
        <v>58</v>
      </c>
      <c r="E21" s="36" t="s">
        <v>70</v>
      </c>
      <c r="G21">
        <f t="shared" si="2"/>
        <v>550</v>
      </c>
      <c r="H21" s="37">
        <f t="shared" si="1"/>
        <v>550</v>
      </c>
      <c r="I21" s="60">
        <f>IF("generated"=1, "Path=START_to_LEV1, Scaled Offset=550", 550)</f>
        <v>550</v>
      </c>
      <c r="M21">
        <v>0</v>
      </c>
    </row>
    <row r="22" spans="1:26" x14ac:dyDescent="0.25">
      <c r="A22" s="59" t="s">
        <v>26</v>
      </c>
      <c r="B22" s="38">
        <v>10015</v>
      </c>
      <c r="C22" s="26" t="str">
        <f t="shared" si="0"/>
        <v>L7_Board</v>
      </c>
      <c r="D22" s="36" t="s">
        <v>59</v>
      </c>
      <c r="E22" s="36" t="s">
        <v>70</v>
      </c>
      <c r="G22">
        <f t="shared" si="2"/>
        <v>555</v>
      </c>
      <c r="H22" s="37">
        <f t="shared" si="1"/>
        <v>555</v>
      </c>
      <c r="I22" s="60">
        <f>IF("generated"=1, "Path=START_to_LEV1, Scaled Offset=555", 555)</f>
        <v>555</v>
      </c>
      <c r="M22">
        <v>3</v>
      </c>
      <c r="N22">
        <v>1</v>
      </c>
    </row>
    <row r="23" spans="1:26" x14ac:dyDescent="0.25">
      <c r="A23" s="59" t="s">
        <v>26</v>
      </c>
      <c r="B23" s="38">
        <v>10016</v>
      </c>
      <c r="C23" s="26" t="str">
        <f t="shared" si="0"/>
        <v>LT_Board</v>
      </c>
      <c r="D23" s="36" t="s">
        <v>60</v>
      </c>
      <c r="E23" s="36" t="s">
        <v>70</v>
      </c>
      <c r="G23">
        <f t="shared" si="2"/>
        <v>560</v>
      </c>
      <c r="H23" s="37">
        <f t="shared" si="1"/>
        <v>560</v>
      </c>
      <c r="I23" s="60">
        <f>IF("generated"=1, "Path=START_to_LEV1, Scaled Offset=560", 560)</f>
        <v>560</v>
      </c>
      <c r="M23">
        <v>3</v>
      </c>
      <c r="N23">
        <v>1</v>
      </c>
    </row>
    <row r="24" spans="1:26" x14ac:dyDescent="0.25">
      <c r="A24" s="59" t="s">
        <v>26</v>
      </c>
      <c r="B24" s="38">
        <v>10017</v>
      </c>
      <c r="C24" s="26" t="str">
        <f>D24&amp;"_"&amp;Q24</f>
        <v>Neutral_Section_Warning_Board_Blue_500m</v>
      </c>
      <c r="D24" s="36" t="s">
        <v>61</v>
      </c>
      <c r="E24" s="36" t="s">
        <v>70</v>
      </c>
      <c r="G24">
        <f t="shared" si="2"/>
        <v>565</v>
      </c>
      <c r="H24" s="37">
        <f t="shared" si="1"/>
        <v>565</v>
      </c>
      <c r="I24" s="60">
        <f>IF("generated"=1, "Path=START_to_LEV1, Scaled Offset=565", 565)</f>
        <v>565</v>
      </c>
      <c r="M24">
        <v>-3</v>
      </c>
      <c r="N24">
        <v>1</v>
      </c>
      <c r="Q24" t="s">
        <v>73</v>
      </c>
    </row>
    <row r="25" spans="1:26" x14ac:dyDescent="0.25">
      <c r="A25" s="59" t="s">
        <v>26</v>
      </c>
      <c r="B25" s="38">
        <v>10018</v>
      </c>
      <c r="C25" s="26" t="str">
        <f>D25&amp;"_"&amp;Q25</f>
        <v>Neutral_Section_Warning_Board_Blue_250m</v>
      </c>
      <c r="D25" s="36" t="s">
        <v>61</v>
      </c>
      <c r="E25" s="36" t="s">
        <v>70</v>
      </c>
      <c r="G25">
        <v>565</v>
      </c>
      <c r="H25" s="37">
        <f t="shared" ref="H25" si="5">G25</f>
        <v>565</v>
      </c>
      <c r="I25" s="60">
        <f>IF("generated"=1, "Path=START_to_LEV1, Scaled Offset=565", 565)</f>
        <v>565</v>
      </c>
      <c r="M25">
        <v>3</v>
      </c>
      <c r="N25">
        <v>1</v>
      </c>
      <c r="Q25" t="s">
        <v>69</v>
      </c>
    </row>
    <row r="26" spans="1:26" x14ac:dyDescent="0.25">
      <c r="A26" s="59" t="s">
        <v>26</v>
      </c>
      <c r="B26" s="38">
        <v>10019</v>
      </c>
      <c r="C26" s="26" t="str">
        <f>D26&amp;"_"&amp;Q26</f>
        <v>Neutral_Section_Warning_Board_White_500m</v>
      </c>
      <c r="D26" s="36" t="s">
        <v>62</v>
      </c>
      <c r="E26" s="36" t="s">
        <v>70</v>
      </c>
      <c r="G26">
        <f>G24+5</f>
        <v>570</v>
      </c>
      <c r="H26" s="37">
        <f t="shared" si="1"/>
        <v>570</v>
      </c>
      <c r="I26" s="60">
        <f>IF("generated"=1, "Path=START_to_LEV1, Scaled Offset=570", 570)</f>
        <v>570</v>
      </c>
      <c r="M26">
        <v>-3</v>
      </c>
      <c r="N26">
        <v>1</v>
      </c>
      <c r="Q26" t="s">
        <v>73</v>
      </c>
    </row>
    <row r="27" spans="1:26" x14ac:dyDescent="0.25">
      <c r="A27" s="59" t="s">
        <v>26</v>
      </c>
      <c r="B27" s="38">
        <v>10020</v>
      </c>
      <c r="C27" s="26" t="str">
        <f>D27&amp;"_"&amp;Q27</f>
        <v>Neutral_Section_Warning_Board_White_250m</v>
      </c>
      <c r="D27" s="36" t="s">
        <v>62</v>
      </c>
      <c r="E27" s="36" t="s">
        <v>70</v>
      </c>
      <c r="G27">
        <f>G25+5</f>
        <v>570</v>
      </c>
      <c r="H27" s="37">
        <f t="shared" ref="H27" si="6">G27</f>
        <v>570</v>
      </c>
      <c r="I27" s="60">
        <f>IF("generated"=1, "Path=START_to_LEV1, Scaled Offset=570", 570)</f>
        <v>570</v>
      </c>
      <c r="M27">
        <v>3</v>
      </c>
      <c r="N27">
        <v>1</v>
      </c>
      <c r="Q27" t="s">
        <v>69</v>
      </c>
    </row>
    <row r="28" spans="1:26" x14ac:dyDescent="0.25">
      <c r="A28" s="59" t="s">
        <v>26</v>
      </c>
      <c r="B28" s="38">
        <v>10021</v>
      </c>
      <c r="C28" s="26" t="str">
        <f t="shared" si="0"/>
        <v>Normal_Stopping_Marker_Board</v>
      </c>
      <c r="D28" s="36" t="s">
        <v>63</v>
      </c>
      <c r="E28" s="36" t="s">
        <v>70</v>
      </c>
      <c r="G28">
        <f>G26+5</f>
        <v>575</v>
      </c>
      <c r="H28" s="37">
        <f t="shared" si="1"/>
        <v>575</v>
      </c>
      <c r="I28" s="60">
        <f>IF("generated"=1, "Path=START_to_LEV1, Scaled Offset=575", 575)</f>
        <v>575</v>
      </c>
      <c r="M28">
        <v>3</v>
      </c>
      <c r="N28">
        <v>1</v>
      </c>
    </row>
    <row r="29" spans="1:26" x14ac:dyDescent="0.25">
      <c r="A29" s="59" t="s">
        <v>26</v>
      </c>
      <c r="B29" s="38">
        <v>10022</v>
      </c>
      <c r="C29" s="26" t="str">
        <f t="shared" si="0"/>
        <v>Restricted_Manual_Mode_Marker_Board</v>
      </c>
      <c r="D29" s="36" t="s">
        <v>64</v>
      </c>
      <c r="E29" s="36" t="s">
        <v>70</v>
      </c>
      <c r="G29">
        <f t="shared" si="2"/>
        <v>580</v>
      </c>
      <c r="H29" s="37">
        <f t="shared" si="1"/>
        <v>580</v>
      </c>
      <c r="I29" s="60">
        <f>IF("generated"=1, "Path=START_to_LEV1, Scaled Offset=580", 580)</f>
        <v>580</v>
      </c>
      <c r="M29">
        <v>3</v>
      </c>
      <c r="N29">
        <v>1</v>
      </c>
    </row>
    <row r="30" spans="1:26" x14ac:dyDescent="0.25">
      <c r="A30" s="59" t="s">
        <v>26</v>
      </c>
      <c r="B30" s="38">
        <v>10023</v>
      </c>
      <c r="C30" s="26" t="str">
        <f t="shared" si="0"/>
        <v>Speed_Restriction_Marker_Board</v>
      </c>
      <c r="D30" s="36" t="s">
        <v>65</v>
      </c>
      <c r="E30" s="36" t="s">
        <v>70</v>
      </c>
      <c r="G30">
        <f t="shared" si="2"/>
        <v>585</v>
      </c>
      <c r="H30" s="37">
        <f t="shared" si="1"/>
        <v>585</v>
      </c>
      <c r="I30" s="60">
        <f>IF("generated"=1, "Path=START_to_LEV1, Scaled Offset=585", 585)</f>
        <v>585</v>
      </c>
      <c r="M30">
        <v>3</v>
      </c>
      <c r="N30">
        <v>1</v>
      </c>
      <c r="Y30">
        <v>0</v>
      </c>
      <c r="Z30">
        <v>0</v>
      </c>
    </row>
    <row r="31" spans="1:26" x14ac:dyDescent="0.25">
      <c r="A31" s="59" t="s">
        <v>26</v>
      </c>
      <c r="B31" s="38">
        <v>10024</v>
      </c>
      <c r="C31" s="26" t="str">
        <f t="shared" si="0"/>
        <v>Stopping_Reverse_Marker_Board</v>
      </c>
      <c r="D31" s="36" t="s">
        <v>66</v>
      </c>
      <c r="E31" s="36" t="s">
        <v>70</v>
      </c>
      <c r="G31">
        <f t="shared" si="2"/>
        <v>590</v>
      </c>
      <c r="H31" s="37">
        <f t="shared" si="1"/>
        <v>590</v>
      </c>
      <c r="I31" s="60">
        <f>IF("generated"=1, "Path=START_to_LEV1, Scaled Offset=590", 590)</f>
        <v>590</v>
      </c>
      <c r="M31">
        <v>3</v>
      </c>
      <c r="N31">
        <v>1</v>
      </c>
    </row>
    <row r="32" spans="1:26" x14ac:dyDescent="0.25">
      <c r="A32" s="59" t="s">
        <v>26</v>
      </c>
      <c r="B32" s="38">
        <v>10025</v>
      </c>
      <c r="C32" s="26" t="str">
        <f t="shared" si="0"/>
        <v>Virtual_Signal_Marker_Board</v>
      </c>
      <c r="D32" s="36" t="s">
        <v>67</v>
      </c>
      <c r="E32" s="36" t="s">
        <v>70</v>
      </c>
      <c r="G32">
        <f t="shared" si="2"/>
        <v>595</v>
      </c>
      <c r="H32" s="37">
        <f t="shared" si="1"/>
        <v>595</v>
      </c>
      <c r="I32" s="60">
        <f>IF("generated"=1, "Path=START_to_LEV1, Scaled Offset=595", 595)</f>
        <v>595</v>
      </c>
      <c r="M32">
        <v>3</v>
      </c>
      <c r="N32">
        <v>1</v>
      </c>
    </row>
    <row r="33" spans="1:22" x14ac:dyDescent="0.25">
      <c r="A33" s="59" t="s">
        <v>26</v>
      </c>
      <c r="B33" s="38">
        <v>10026</v>
      </c>
      <c r="C33" s="26" t="s">
        <v>78</v>
      </c>
      <c r="D33" s="36" t="s">
        <v>78</v>
      </c>
      <c r="E33" s="36" t="s">
        <v>70</v>
      </c>
      <c r="G33">
        <f t="shared" si="2"/>
        <v>600</v>
      </c>
      <c r="H33" s="37">
        <f t="shared" si="1"/>
        <v>600</v>
      </c>
      <c r="I33" s="61">
        <v>600</v>
      </c>
      <c r="M33">
        <v>3</v>
      </c>
      <c r="N33">
        <v>1</v>
      </c>
    </row>
    <row r="34" spans="1:22" x14ac:dyDescent="0.25">
      <c r="A34" s="59" t="s">
        <v>26</v>
      </c>
      <c r="B34" s="38">
        <v>10027</v>
      </c>
      <c r="C34" s="26" t="s">
        <v>80</v>
      </c>
      <c r="D34" s="36" t="s">
        <v>80</v>
      </c>
      <c r="E34" s="36" t="s">
        <v>70</v>
      </c>
      <c r="G34">
        <f t="shared" si="2"/>
        <v>605</v>
      </c>
      <c r="H34" s="37">
        <f t="shared" si="1"/>
        <v>605</v>
      </c>
      <c r="I34" s="61">
        <v>605</v>
      </c>
      <c r="M34">
        <v>3</v>
      </c>
      <c r="N34">
        <v>1</v>
      </c>
    </row>
    <row r="35" spans="1:22" x14ac:dyDescent="0.25">
      <c r="A35" s="59" t="s">
        <v>26</v>
      </c>
      <c r="B35" s="38">
        <v>10028</v>
      </c>
      <c r="C35" s="26" t="s">
        <v>79</v>
      </c>
      <c r="D35" s="36" t="s">
        <v>79</v>
      </c>
      <c r="E35" s="36" t="s">
        <v>70</v>
      </c>
      <c r="G35">
        <f t="shared" si="2"/>
        <v>610</v>
      </c>
      <c r="H35" s="37">
        <f t="shared" si="1"/>
        <v>610</v>
      </c>
      <c r="I35" s="61">
        <v>610</v>
      </c>
      <c r="M35">
        <v>3</v>
      </c>
      <c r="N35">
        <v>1</v>
      </c>
    </row>
    <row r="36" spans="1:22" s="39" customFormat="1" ht="14.4" x14ac:dyDescent="0.3">
      <c r="A36" s="59" t="s">
        <v>26</v>
      </c>
      <c r="B36" s="38">
        <v>10029</v>
      </c>
      <c r="C36" s="47" t="s">
        <v>81</v>
      </c>
      <c r="D36" s="47" t="s">
        <v>82</v>
      </c>
      <c r="E36" s="48" t="s">
        <v>70</v>
      </c>
      <c r="G36" s="39">
        <f>G35+200</f>
        <v>810</v>
      </c>
      <c r="H36" s="39">
        <f t="shared" si="1"/>
        <v>810</v>
      </c>
      <c r="I36" s="60">
        <f>IF("generated"=1, "Path=START_to_LEV1, Scaled Offset=810", 810)</f>
        <v>810</v>
      </c>
      <c r="L36" s="40"/>
      <c r="M36" s="41"/>
      <c r="N36" s="42"/>
      <c r="O36" s="39">
        <v>180</v>
      </c>
      <c r="R36" s="43"/>
      <c r="T36" s="44"/>
      <c r="V36" s="44"/>
    </row>
    <row r="37" spans="1:22" ht="14.4" x14ac:dyDescent="0.3">
      <c r="A37" s="59" t="s">
        <v>26</v>
      </c>
      <c r="B37" s="38">
        <v>10030</v>
      </c>
      <c r="C37" s="51" t="str">
        <f t="shared" ref="C37:C43" si="7">D37</f>
        <v>Obstruction - Car</v>
      </c>
      <c r="D37" s="49" t="s">
        <v>83</v>
      </c>
      <c r="E37" s="50" t="s">
        <v>70</v>
      </c>
      <c r="F37" s="46"/>
      <c r="G37">
        <f t="shared" ref="G37:G53" si="8">G36+10</f>
        <v>820</v>
      </c>
      <c r="H37" s="37">
        <f t="shared" si="1"/>
        <v>820</v>
      </c>
      <c r="I37" s="60">
        <f>IF("generated"=1, "Path=START_to_LEV1, Scaled Offset=820", 820)</f>
        <v>820</v>
      </c>
      <c r="J37" s="45" t="s">
        <v>97</v>
      </c>
      <c r="R37"/>
    </row>
    <row r="38" spans="1:22" ht="14.4" x14ac:dyDescent="0.3">
      <c r="A38" s="59" t="s">
        <v>26</v>
      </c>
      <c r="B38" s="38">
        <v>10031</v>
      </c>
      <c r="C38" s="51" t="str">
        <f t="shared" si="7"/>
        <v>Obstruction - Cow</v>
      </c>
      <c r="D38" s="49" t="s">
        <v>84</v>
      </c>
      <c r="E38" s="50" t="s">
        <v>70</v>
      </c>
      <c r="F38" s="46"/>
      <c r="G38">
        <f t="shared" si="8"/>
        <v>830</v>
      </c>
      <c r="H38" s="37">
        <f t="shared" si="1"/>
        <v>830</v>
      </c>
      <c r="I38" s="60">
        <f>IF("generated"=1, "Path=START_to_LEV1, Scaled Offset=830", 830)</f>
        <v>830</v>
      </c>
      <c r="J38" s="45" t="s">
        <v>97</v>
      </c>
      <c r="M38">
        <v>2</v>
      </c>
      <c r="R38"/>
    </row>
    <row r="39" spans="1:22" ht="14.4" x14ac:dyDescent="0.3">
      <c r="A39" s="59" t="s">
        <v>26</v>
      </c>
      <c r="B39" s="38">
        <v>10032</v>
      </c>
      <c r="C39" s="51" t="str">
        <f t="shared" si="7"/>
        <v>Obstruction - Horse</v>
      </c>
      <c r="D39" s="49" t="s">
        <v>85</v>
      </c>
      <c r="E39" s="50" t="s">
        <v>70</v>
      </c>
      <c r="F39" s="46"/>
      <c r="G39">
        <f t="shared" si="8"/>
        <v>840</v>
      </c>
      <c r="H39" s="37">
        <f t="shared" si="1"/>
        <v>840</v>
      </c>
      <c r="I39" s="60">
        <f>IF("generated"=1, "Path=START_to_LEV1, Scaled Offset=840", 840)</f>
        <v>840</v>
      </c>
      <c r="J39" s="45" t="s">
        <v>97</v>
      </c>
      <c r="M39">
        <v>2</v>
      </c>
      <c r="R39"/>
    </row>
    <row r="40" spans="1:22" ht="14.4" x14ac:dyDescent="0.3">
      <c r="A40" s="59" t="s">
        <v>26</v>
      </c>
      <c r="B40" s="38">
        <v>10033</v>
      </c>
      <c r="C40" s="51" t="str">
        <f t="shared" si="7"/>
        <v>Obstruction - Sheep</v>
      </c>
      <c r="D40" s="49" t="s">
        <v>86</v>
      </c>
      <c r="E40" s="50" t="s">
        <v>70</v>
      </c>
      <c r="F40" s="46"/>
      <c r="G40">
        <f t="shared" si="8"/>
        <v>850</v>
      </c>
      <c r="H40" s="37">
        <f t="shared" si="1"/>
        <v>850</v>
      </c>
      <c r="I40" s="60">
        <f>IF("generated"=1, "Path=START_to_LEV1, Scaled Offset=850", 850)</f>
        <v>850</v>
      </c>
      <c r="J40" s="45" t="s">
        <v>97</v>
      </c>
      <c r="M40">
        <v>2</v>
      </c>
      <c r="R40"/>
    </row>
    <row r="41" spans="1:22" ht="14.4" x14ac:dyDescent="0.3">
      <c r="A41" s="59" t="s">
        <v>26</v>
      </c>
      <c r="B41" s="38">
        <v>10034</v>
      </c>
      <c r="C41" s="51" t="str">
        <f t="shared" si="7"/>
        <v>Obstruction - Sleeper</v>
      </c>
      <c r="D41" s="49" t="s">
        <v>87</v>
      </c>
      <c r="E41" s="50" t="s">
        <v>70</v>
      </c>
      <c r="F41" s="46"/>
      <c r="G41">
        <f t="shared" si="8"/>
        <v>860</v>
      </c>
      <c r="H41" s="37">
        <f t="shared" si="1"/>
        <v>860</v>
      </c>
      <c r="I41" s="60">
        <f>IF("generated"=1, "Path=START_to_LEV1, Scaled Offset=860", 860)</f>
        <v>860</v>
      </c>
      <c r="J41" s="45" t="s">
        <v>97</v>
      </c>
      <c r="R41"/>
    </row>
    <row r="42" spans="1:22" ht="14.4" x14ac:dyDescent="0.3">
      <c r="A42" s="59" t="s">
        <v>26</v>
      </c>
      <c r="B42" s="38">
        <v>10035</v>
      </c>
      <c r="C42" s="51" t="str">
        <f t="shared" si="7"/>
        <v>Obstruction - Tree</v>
      </c>
      <c r="D42" s="49" t="s">
        <v>88</v>
      </c>
      <c r="E42" s="50" t="s">
        <v>70</v>
      </c>
      <c r="F42" s="46"/>
      <c r="G42">
        <f t="shared" si="8"/>
        <v>870</v>
      </c>
      <c r="H42" s="37">
        <f t="shared" si="1"/>
        <v>870</v>
      </c>
      <c r="I42" s="60">
        <f>IF("generated"=1, "Path=START_to_LEV1, Scaled Offset=870", 870)</f>
        <v>870</v>
      </c>
      <c r="J42" s="45" t="s">
        <v>97</v>
      </c>
      <c r="R42"/>
    </row>
    <row r="43" spans="1:22" ht="14.4" x14ac:dyDescent="0.3">
      <c r="A43" s="59" t="s">
        <v>26</v>
      </c>
      <c r="B43" s="38">
        <v>10036</v>
      </c>
      <c r="C43" s="51" t="str">
        <f t="shared" si="7"/>
        <v>Unauthorised Personnel on the Track</v>
      </c>
      <c r="D43" s="49" t="s">
        <v>89</v>
      </c>
      <c r="E43" s="50" t="s">
        <v>70</v>
      </c>
      <c r="F43" s="46"/>
      <c r="G43">
        <f t="shared" si="8"/>
        <v>880</v>
      </c>
      <c r="H43" s="37">
        <f t="shared" si="1"/>
        <v>880</v>
      </c>
      <c r="I43" s="60">
        <f>IF("generated"=1, "Path=START_to_LEV1, Scaled Offset=880", 880)</f>
        <v>880</v>
      </c>
      <c r="J43" s="45" t="s">
        <v>97</v>
      </c>
      <c r="R43"/>
    </row>
    <row r="44" spans="1:22" ht="14.4" x14ac:dyDescent="0.3">
      <c r="A44" s="59" t="s">
        <v>26</v>
      </c>
      <c r="B44" s="38">
        <v>10037</v>
      </c>
      <c r="C44" s="51" t="str">
        <f>D44&amp;" - "&amp;Q44</f>
        <v>Broken Rail - Severe Break</v>
      </c>
      <c r="D44" s="49" t="s">
        <v>90</v>
      </c>
      <c r="E44" s="50" t="s">
        <v>70</v>
      </c>
      <c r="F44" s="46"/>
      <c r="G44">
        <f t="shared" si="8"/>
        <v>890</v>
      </c>
      <c r="H44" s="37">
        <f t="shared" si="1"/>
        <v>890</v>
      </c>
      <c r="I44" s="60">
        <f>IF("generated"=1, "Path=START_to_LEV1, Scaled Offset=890", 890)</f>
        <v>890</v>
      </c>
      <c r="J44" s="45" t="s">
        <v>97</v>
      </c>
      <c r="Q44" t="s">
        <v>98</v>
      </c>
      <c r="R44"/>
    </row>
    <row r="45" spans="1:22" ht="14.4" x14ac:dyDescent="0.3">
      <c r="A45" s="59" t="s">
        <v>26</v>
      </c>
      <c r="B45" s="38">
        <v>10046</v>
      </c>
      <c r="C45" s="51" t="str">
        <f>D45&amp;" - "&amp;Q45</f>
        <v>Broken Rail - Small Break</v>
      </c>
      <c r="D45" s="49" t="s">
        <v>90</v>
      </c>
      <c r="E45" s="50" t="s">
        <v>70</v>
      </c>
      <c r="F45" s="46"/>
      <c r="G45">
        <f t="shared" si="8"/>
        <v>900</v>
      </c>
      <c r="H45" s="37">
        <f t="shared" ref="H45" si="9">G45</f>
        <v>900</v>
      </c>
      <c r="I45" s="60">
        <f>IF("generated"=1, "Path=START_to_LEV1, Scaled Offset=900", 900)</f>
        <v>900</v>
      </c>
      <c r="J45" s="45" t="s">
        <v>97</v>
      </c>
      <c r="Q45" t="s">
        <v>99</v>
      </c>
      <c r="R45"/>
    </row>
    <row r="46" spans="1:22" ht="14.4" x14ac:dyDescent="0.3">
      <c r="A46" s="59" t="s">
        <v>26</v>
      </c>
      <c r="B46" s="38">
        <v>10038</v>
      </c>
      <c r="C46" s="51" t="str">
        <f t="shared" ref="C46" si="10">D46</f>
        <v>Obstruction - Kite</v>
      </c>
      <c r="D46" s="49" t="s">
        <v>91</v>
      </c>
      <c r="E46" s="50" t="s">
        <v>70</v>
      </c>
      <c r="F46" s="46"/>
      <c r="G46">
        <f>G44+10</f>
        <v>900</v>
      </c>
      <c r="H46" s="37">
        <f t="shared" ref="H46" si="11">G46</f>
        <v>900</v>
      </c>
      <c r="I46" s="60">
        <f>IF("generated"=1, "Path=START_to_LEV1, Scaled Offset=900", 900)</f>
        <v>900</v>
      </c>
      <c r="J46" s="45" t="s">
        <v>97</v>
      </c>
      <c r="N46">
        <v>1</v>
      </c>
      <c r="R46"/>
    </row>
    <row r="47" spans="1:22" ht="14.4" x14ac:dyDescent="0.3">
      <c r="A47" s="59" t="s">
        <v>26</v>
      </c>
      <c r="B47" s="38">
        <v>10039</v>
      </c>
      <c r="C47" s="51" t="str">
        <f t="shared" ref="C47" si="12">D47</f>
        <v>Obstruction - Rope</v>
      </c>
      <c r="D47" s="49" t="s">
        <v>92</v>
      </c>
      <c r="E47" s="50" t="s">
        <v>70</v>
      </c>
      <c r="F47" s="46"/>
      <c r="G47">
        <f t="shared" si="8"/>
        <v>910</v>
      </c>
      <c r="H47" s="37">
        <f t="shared" ref="H47" si="13">G47</f>
        <v>910</v>
      </c>
      <c r="I47" s="60">
        <f>IF("generated"=1, "Path=START_to_LEV1, Scaled Offset=910", 910)</f>
        <v>910</v>
      </c>
      <c r="J47" s="45" t="s">
        <v>97</v>
      </c>
      <c r="N47">
        <v>2</v>
      </c>
      <c r="R47"/>
    </row>
    <row r="48" spans="1:22" ht="14.4" x14ac:dyDescent="0.3">
      <c r="A48" s="59" t="s">
        <v>26</v>
      </c>
      <c r="B48" s="38">
        <v>10040</v>
      </c>
      <c r="C48" s="51" t="str">
        <f t="shared" ref="C48" si="14">D48</f>
        <v>Obstruction - Shirt</v>
      </c>
      <c r="D48" s="49" t="s">
        <v>93</v>
      </c>
      <c r="E48" s="50" t="s">
        <v>70</v>
      </c>
      <c r="F48" s="46"/>
      <c r="G48">
        <f t="shared" si="8"/>
        <v>920</v>
      </c>
      <c r="H48" s="37">
        <f t="shared" ref="H48" si="15">G48</f>
        <v>920</v>
      </c>
      <c r="I48" s="60">
        <f>IF("generated"=1, "Path=START_to_LEV1, Scaled Offset=920", 920)</f>
        <v>920</v>
      </c>
      <c r="J48" s="45" t="s">
        <v>97</v>
      </c>
      <c r="N48">
        <v>1</v>
      </c>
      <c r="R48"/>
    </row>
    <row r="49" spans="1:26" ht="14.4" x14ac:dyDescent="0.3">
      <c r="A49" s="59" t="s">
        <v>26</v>
      </c>
      <c r="B49" s="38">
        <v>10043</v>
      </c>
      <c r="C49" s="51" t="str">
        <f t="shared" ref="C49" si="16">D49</f>
        <v>Track Workers</v>
      </c>
      <c r="D49" s="49" t="s">
        <v>94</v>
      </c>
      <c r="E49" s="50" t="s">
        <v>70</v>
      </c>
      <c r="F49" s="46"/>
      <c r="G49">
        <f t="shared" si="8"/>
        <v>930</v>
      </c>
      <c r="H49" s="37">
        <f t="shared" ref="H49" si="17">G49</f>
        <v>930</v>
      </c>
      <c r="I49" s="60">
        <f>IF("generated"=1, "Path=START_to_LEV1, Scaled Offset=930", 930)</f>
        <v>930</v>
      </c>
      <c r="J49" s="45" t="s">
        <v>97</v>
      </c>
      <c r="R49"/>
    </row>
    <row r="50" spans="1:26" ht="14.4" x14ac:dyDescent="0.3">
      <c r="A50" s="59" t="s">
        <v>26</v>
      </c>
      <c r="B50" s="38">
        <v>10045</v>
      </c>
      <c r="C50" s="51" t="str">
        <f t="shared" ref="C50:C52" si="18">D50</f>
        <v>Fire</v>
      </c>
      <c r="D50" s="49" t="s">
        <v>96</v>
      </c>
      <c r="E50" s="50" t="s">
        <v>70</v>
      </c>
      <c r="F50" s="46"/>
      <c r="G50">
        <f t="shared" si="8"/>
        <v>940</v>
      </c>
      <c r="H50" s="37">
        <f t="shared" ref="H50:H52" si="19">G50</f>
        <v>940</v>
      </c>
      <c r="I50" s="60">
        <f>IF("generated"=1, "Path=START_to_LEV1, Scaled Offset=940", 940)</f>
        <v>940</v>
      </c>
      <c r="J50" s="45" t="s">
        <v>97</v>
      </c>
      <c r="Q50" t="s">
        <v>95</v>
      </c>
      <c r="R50"/>
    </row>
    <row r="51" spans="1:26" ht="14.4" x14ac:dyDescent="0.3">
      <c r="A51" s="59" t="s">
        <v>26</v>
      </c>
      <c r="B51" s="38">
        <v>10047</v>
      </c>
      <c r="C51" s="51" t="str">
        <f t="shared" si="18"/>
        <v>Obstruction - Banner_Flag</v>
      </c>
      <c r="D51" s="49" t="s">
        <v>100</v>
      </c>
      <c r="E51" s="50" t="s">
        <v>70</v>
      </c>
      <c r="F51" s="46"/>
      <c r="G51">
        <f t="shared" si="8"/>
        <v>950</v>
      </c>
      <c r="H51" s="37">
        <f t="shared" si="19"/>
        <v>950</v>
      </c>
      <c r="I51" s="61">
        <v>950</v>
      </c>
      <c r="J51" s="45" t="s">
        <v>97</v>
      </c>
      <c r="R51"/>
    </row>
    <row r="52" spans="1:26" ht="14.4" x14ac:dyDescent="0.3">
      <c r="A52" s="59" t="s">
        <v>26</v>
      </c>
      <c r="B52" s="38">
        <v>10048</v>
      </c>
      <c r="C52" s="51" t="str">
        <f t="shared" si="18"/>
        <v>Obstruction - Dog</v>
      </c>
      <c r="D52" s="49" t="s">
        <v>428</v>
      </c>
      <c r="E52" s="50" t="s">
        <v>70</v>
      </c>
      <c r="F52" s="46"/>
      <c r="G52">
        <f t="shared" si="8"/>
        <v>960</v>
      </c>
      <c r="H52" s="37">
        <f t="shared" si="19"/>
        <v>960</v>
      </c>
      <c r="I52" s="60">
        <f>IF("generated"=1, "Path=START_to_LEV1, Scaled Offset=960", 960)</f>
        <v>960</v>
      </c>
      <c r="J52" s="45" t="s">
        <v>97</v>
      </c>
      <c r="R52"/>
    </row>
    <row r="53" spans="1:26" ht="14.4" x14ac:dyDescent="0.3">
      <c r="A53" s="59" t="s">
        <v>26</v>
      </c>
      <c r="B53" s="38">
        <v>10049</v>
      </c>
      <c r="C53" s="51" t="s">
        <v>429</v>
      </c>
      <c r="D53" s="49" t="s">
        <v>429</v>
      </c>
      <c r="E53" s="50" t="s">
        <v>70</v>
      </c>
      <c r="F53" s="46"/>
      <c r="G53">
        <f t="shared" si="8"/>
        <v>970</v>
      </c>
      <c r="H53" s="37">
        <f t="shared" ref="H53" si="20">G53</f>
        <v>970</v>
      </c>
      <c r="I53" s="60">
        <f>IF("generated"=1, "Path=START_to_LEV1, Scaled Offset=970", 970)</f>
        <v>970</v>
      </c>
      <c r="J53" s="45" t="s">
        <v>97</v>
      </c>
      <c r="Q53" t="s">
        <v>95</v>
      </c>
      <c r="R53"/>
    </row>
    <row r="54" spans="1:26" s="26" customFormat="1" x14ac:dyDescent="0.25">
      <c r="A54" s="58"/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 s="31"/>
      <c r="S54"/>
      <c r="T54"/>
      <c r="U54"/>
      <c r="V54"/>
      <c r="W54"/>
      <c r="X54"/>
      <c r="Y54"/>
      <c r="Z54"/>
    </row>
    <row r="55" spans="1:26" s="26" customFormat="1" x14ac:dyDescent="0.25">
      <c r="A55" s="58"/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 s="31"/>
      <c r="S55"/>
      <c r="T55"/>
      <c r="U55"/>
      <c r="V55"/>
      <c r="W55"/>
      <c r="X55"/>
      <c r="Y55"/>
      <c r="Z55"/>
    </row>
    <row r="56" spans="1:26" s="26" customFormat="1" x14ac:dyDescent="0.25">
      <c r="A56" s="58"/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s="31"/>
      <c r="S56"/>
      <c r="T56"/>
      <c r="U56"/>
      <c r="V56"/>
      <c r="W56"/>
      <c r="X56"/>
      <c r="Y56"/>
      <c r="Z56"/>
    </row>
    <row r="57" spans="1:26" s="26" customFormat="1" x14ac:dyDescent="0.25">
      <c r="A57" s="58"/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 s="31"/>
      <c r="S57"/>
      <c r="T57"/>
      <c r="U57"/>
      <c r="V57"/>
      <c r="W57"/>
      <c r="X57"/>
      <c r="Y57"/>
      <c r="Z57"/>
    </row>
    <row r="58" spans="1:26" s="26" customFormat="1" x14ac:dyDescent="0.25">
      <c r="A58" s="58"/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s="31"/>
      <c r="S58"/>
      <c r="T58"/>
      <c r="U58"/>
      <c r="V58"/>
      <c r="W58"/>
      <c r="X58"/>
      <c r="Y58"/>
      <c r="Z58"/>
    </row>
    <row r="59" spans="1:26" s="26" customFormat="1" x14ac:dyDescent="0.25">
      <c r="A59" s="58"/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31"/>
      <c r="S59"/>
      <c r="T59"/>
      <c r="U59"/>
      <c r="V59"/>
      <c r="W59"/>
      <c r="X59"/>
      <c r="Y59"/>
      <c r="Z59"/>
    </row>
    <row r="60" spans="1:26" s="26" customFormat="1" x14ac:dyDescent="0.25">
      <c r="A60" s="58"/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s="31"/>
      <c r="S60"/>
      <c r="T60"/>
      <c r="U60"/>
      <c r="V60"/>
      <c r="W60"/>
      <c r="X60"/>
      <c r="Y60"/>
      <c r="Z60"/>
    </row>
    <row r="61" spans="1:26" s="26" customFormat="1" x14ac:dyDescent="0.25">
      <c r="A61" s="58"/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s="31"/>
      <c r="S61"/>
      <c r="T61"/>
      <c r="U61"/>
      <c r="V61"/>
      <c r="W61"/>
      <c r="X61"/>
      <c r="Y61"/>
      <c r="Z61"/>
    </row>
    <row r="62" spans="1:26" s="26" customFormat="1" x14ac:dyDescent="0.25">
      <c r="A62" s="58"/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s="31"/>
      <c r="S62"/>
      <c r="T62"/>
      <c r="U62"/>
      <c r="V62"/>
      <c r="W62"/>
      <c r="X62"/>
      <c r="Y62"/>
      <c r="Z62"/>
    </row>
    <row r="63" spans="1:26" s="26" customFormat="1" x14ac:dyDescent="0.25">
      <c r="A63" s="58"/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 s="31"/>
      <c r="S63"/>
      <c r="T63"/>
      <c r="U63"/>
      <c r="V63"/>
      <c r="W63"/>
      <c r="X63"/>
      <c r="Y63"/>
      <c r="Z63"/>
    </row>
    <row r="64" spans="1:26" s="26" customFormat="1" x14ac:dyDescent="0.25">
      <c r="A64" s="58"/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s="31"/>
      <c r="S64"/>
      <c r="T64"/>
      <c r="U64"/>
      <c r="V64"/>
      <c r="W64"/>
      <c r="X64"/>
      <c r="Y64"/>
      <c r="Z64"/>
    </row>
    <row r="65" spans="1:26" s="26" customFormat="1" x14ac:dyDescent="0.25">
      <c r="A65" s="58"/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 s="31"/>
      <c r="S65"/>
      <c r="T65"/>
      <c r="U65"/>
      <c r="V65"/>
      <c r="W65"/>
      <c r="X65"/>
      <c r="Y65"/>
      <c r="Z65"/>
    </row>
    <row r="66" spans="1:26" s="26" customFormat="1" x14ac:dyDescent="0.25">
      <c r="A66" s="58"/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s="31"/>
      <c r="S66"/>
      <c r="T66"/>
      <c r="U66"/>
      <c r="V66"/>
      <c r="W66"/>
      <c r="X66"/>
      <c r="Y66"/>
      <c r="Z66"/>
    </row>
    <row r="67" spans="1:26" s="26" customFormat="1" x14ac:dyDescent="0.25">
      <c r="A67" s="58"/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 s="31"/>
      <c r="S67"/>
      <c r="T67"/>
      <c r="U67"/>
      <c r="V67"/>
      <c r="W67"/>
      <c r="X67"/>
      <c r="Y67"/>
      <c r="Z67"/>
    </row>
    <row r="68" spans="1:26" s="26" customFormat="1" x14ac:dyDescent="0.25">
      <c r="A68" s="58"/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 s="31"/>
      <c r="S68"/>
      <c r="T68"/>
      <c r="U68"/>
      <c r="V68"/>
      <c r="W68"/>
      <c r="X68"/>
      <c r="Y68"/>
      <c r="Z68"/>
    </row>
    <row r="69" spans="1:26" s="26" customFormat="1" x14ac:dyDescent="0.25">
      <c r="A69" s="58"/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 s="31"/>
      <c r="S69"/>
      <c r="T69"/>
      <c r="U69"/>
      <c r="V69"/>
      <c r="W69"/>
      <c r="X69"/>
      <c r="Y69"/>
      <c r="Z69"/>
    </row>
    <row r="70" spans="1:26" s="26" customFormat="1" x14ac:dyDescent="0.25">
      <c r="A70" s="58"/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 s="31"/>
      <c r="S70"/>
      <c r="T70"/>
      <c r="U70"/>
      <c r="V70"/>
      <c r="W70"/>
      <c r="X70"/>
      <c r="Y70"/>
      <c r="Z70"/>
    </row>
    <row r="71" spans="1:26" s="26" customFormat="1" x14ac:dyDescent="0.25">
      <c r="A71" s="58"/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 s="31"/>
      <c r="S71"/>
      <c r="T71"/>
      <c r="U71"/>
      <c r="V71"/>
      <c r="W71"/>
      <c r="X71"/>
      <c r="Y71"/>
      <c r="Z71"/>
    </row>
    <row r="72" spans="1:26" s="26" customFormat="1" x14ac:dyDescent="0.25">
      <c r="A72" s="58"/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 s="31"/>
      <c r="S72"/>
      <c r="T72"/>
      <c r="U72"/>
      <c r="V72"/>
      <c r="W72"/>
      <c r="X72"/>
      <c r="Y72"/>
      <c r="Z72"/>
    </row>
    <row r="73" spans="1:26" s="26" customFormat="1" x14ac:dyDescent="0.25">
      <c r="A73" s="58"/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 s="31"/>
      <c r="S73"/>
      <c r="T73"/>
      <c r="U73"/>
      <c r="V73"/>
      <c r="W73"/>
      <c r="X73"/>
      <c r="Y73"/>
      <c r="Z73"/>
    </row>
    <row r="74" spans="1:26" s="26" customFormat="1" x14ac:dyDescent="0.25">
      <c r="A74" s="58"/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 s="31"/>
      <c r="S74"/>
      <c r="T74"/>
      <c r="U74"/>
      <c r="V74"/>
      <c r="W74"/>
      <c r="X74"/>
      <c r="Y74"/>
      <c r="Z74"/>
    </row>
    <row r="75" spans="1:26" s="26" customFormat="1" x14ac:dyDescent="0.25">
      <c r="A75" s="58"/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 s="31"/>
      <c r="S75"/>
      <c r="T75"/>
      <c r="U75"/>
      <c r="V75"/>
      <c r="W75"/>
      <c r="X75"/>
      <c r="Y75"/>
      <c r="Z75"/>
    </row>
    <row r="76" spans="1:26" s="26" customFormat="1" x14ac:dyDescent="0.25">
      <c r="A76" s="58"/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 s="31"/>
      <c r="S76"/>
      <c r="T76"/>
      <c r="U76"/>
      <c r="V76"/>
      <c r="W76"/>
      <c r="X76"/>
      <c r="Y76"/>
      <c r="Z76"/>
    </row>
    <row r="77" spans="1:26" s="26" customFormat="1" x14ac:dyDescent="0.25">
      <c r="A77" s="58"/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 s="31"/>
      <c r="S77"/>
      <c r="T77"/>
      <c r="U77"/>
      <c r="V77"/>
      <c r="W77"/>
      <c r="X77"/>
      <c r="Y77"/>
      <c r="Z77"/>
    </row>
    <row r="78" spans="1:26" s="26" customFormat="1" x14ac:dyDescent="0.25">
      <c r="A78" s="58"/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 s="31"/>
      <c r="S78"/>
      <c r="T78"/>
      <c r="U78"/>
      <c r="V78"/>
      <c r="W78"/>
      <c r="X78"/>
      <c r="Y78"/>
      <c r="Z78"/>
    </row>
    <row r="79" spans="1:26" s="26" customFormat="1" x14ac:dyDescent="0.25">
      <c r="A79" s="58"/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 s="31"/>
      <c r="S79"/>
      <c r="T79"/>
      <c r="U79"/>
      <c r="V79"/>
      <c r="W79"/>
      <c r="X79"/>
      <c r="Y79"/>
      <c r="Z79"/>
    </row>
    <row r="80" spans="1:26" s="26" customFormat="1" x14ac:dyDescent="0.25">
      <c r="A80" s="58"/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 s="31"/>
      <c r="S80"/>
      <c r="T80"/>
      <c r="U80"/>
      <c r="V80"/>
      <c r="W80"/>
      <c r="X80"/>
      <c r="Y80"/>
      <c r="Z80"/>
    </row>
    <row r="81" spans="1:26" s="26" customFormat="1" x14ac:dyDescent="0.25">
      <c r="A81" s="58"/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 s="31"/>
      <c r="S81"/>
      <c r="T81"/>
      <c r="U81"/>
      <c r="V81"/>
      <c r="W81"/>
      <c r="X81"/>
      <c r="Y81"/>
      <c r="Z81"/>
    </row>
    <row r="82" spans="1:26" s="26" customFormat="1" x14ac:dyDescent="0.25">
      <c r="A82" s="58"/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 s="31"/>
      <c r="S82"/>
      <c r="T82"/>
      <c r="U82"/>
      <c r="V82"/>
      <c r="W82"/>
      <c r="X82"/>
      <c r="Y82"/>
      <c r="Z82"/>
    </row>
    <row r="83" spans="1:26" s="26" customFormat="1" x14ac:dyDescent="0.25">
      <c r="A83" s="58"/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 s="31"/>
      <c r="S83"/>
      <c r="T83"/>
      <c r="U83"/>
      <c r="V83"/>
      <c r="W83"/>
      <c r="X83"/>
      <c r="Y83"/>
      <c r="Z83"/>
    </row>
    <row r="84" spans="1:26" s="26" customFormat="1" x14ac:dyDescent="0.25">
      <c r="A84" s="58"/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 s="31"/>
      <c r="S84"/>
      <c r="T84"/>
      <c r="U84"/>
      <c r="V84"/>
      <c r="W84"/>
      <c r="X84"/>
      <c r="Y84"/>
      <c r="Z84"/>
    </row>
    <row r="85" spans="1:26" s="26" customFormat="1" x14ac:dyDescent="0.25">
      <c r="A85" s="58"/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 s="31"/>
      <c r="S85"/>
      <c r="T85"/>
      <c r="U85"/>
      <c r="V85"/>
      <c r="W85"/>
      <c r="X85"/>
      <c r="Y85"/>
      <c r="Z85"/>
    </row>
    <row r="86" spans="1:26" s="26" customFormat="1" x14ac:dyDescent="0.25">
      <c r="A86" s="58"/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 s="31"/>
      <c r="S86"/>
      <c r="T86"/>
      <c r="U86"/>
      <c r="V86"/>
      <c r="W86"/>
      <c r="X86"/>
      <c r="Y86"/>
      <c r="Z86"/>
    </row>
    <row r="87" spans="1:26" s="26" customFormat="1" x14ac:dyDescent="0.25">
      <c r="A87" s="58"/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 s="31"/>
      <c r="S87"/>
      <c r="T87"/>
      <c r="U87"/>
      <c r="V87"/>
      <c r="W87"/>
      <c r="X87"/>
      <c r="Y87"/>
      <c r="Z87"/>
    </row>
    <row r="88" spans="1:26" s="26" customFormat="1" x14ac:dyDescent="0.25">
      <c r="A88" s="58"/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 s="31"/>
      <c r="S88"/>
      <c r="T88"/>
      <c r="U88"/>
      <c r="V88"/>
      <c r="W88"/>
      <c r="X88"/>
      <c r="Y88"/>
      <c r="Z88"/>
    </row>
    <row r="89" spans="1:26" s="26" customFormat="1" x14ac:dyDescent="0.25">
      <c r="A89" s="58"/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 s="31"/>
      <c r="S89"/>
      <c r="T89"/>
      <c r="U89"/>
      <c r="V89"/>
      <c r="W89"/>
      <c r="X89"/>
      <c r="Y89"/>
      <c r="Z89"/>
    </row>
    <row r="90" spans="1:26" s="26" customFormat="1" x14ac:dyDescent="0.25">
      <c r="A90" s="58"/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 s="31"/>
      <c r="S90"/>
      <c r="T90"/>
      <c r="U90"/>
      <c r="V90"/>
      <c r="W90"/>
      <c r="X90"/>
      <c r="Y90"/>
      <c r="Z90"/>
    </row>
    <row r="91" spans="1:26" s="26" customFormat="1" x14ac:dyDescent="0.25">
      <c r="A91" s="58"/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 s="31"/>
      <c r="S91"/>
      <c r="T91"/>
      <c r="U91"/>
      <c r="V91"/>
      <c r="W91"/>
      <c r="X91"/>
      <c r="Y91"/>
      <c r="Z91"/>
    </row>
    <row r="92" spans="1:26" s="26" customFormat="1" x14ac:dyDescent="0.25">
      <c r="A92" s="58"/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 s="31"/>
      <c r="S92"/>
      <c r="T92"/>
      <c r="U92"/>
      <c r="V92"/>
      <c r="W92"/>
      <c r="X92"/>
      <c r="Y92"/>
      <c r="Z92"/>
    </row>
    <row r="93" spans="1:26" s="26" customFormat="1" x14ac:dyDescent="0.25">
      <c r="A93" s="58"/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 s="31"/>
      <c r="S93"/>
      <c r="T93"/>
      <c r="U93"/>
      <c r="V93"/>
      <c r="W93"/>
      <c r="X93"/>
      <c r="Y93"/>
      <c r="Z93"/>
    </row>
    <row r="94" spans="1:26" s="26" customFormat="1" x14ac:dyDescent="0.25">
      <c r="A94" s="58"/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 s="31"/>
      <c r="S94"/>
      <c r="T94"/>
      <c r="U94"/>
      <c r="V94"/>
      <c r="W94"/>
      <c r="X94"/>
      <c r="Y94"/>
      <c r="Z94"/>
    </row>
    <row r="95" spans="1:26" s="26" customFormat="1" x14ac:dyDescent="0.25">
      <c r="A95" s="58"/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 s="31"/>
      <c r="S95"/>
      <c r="T95"/>
      <c r="U95"/>
      <c r="V95"/>
      <c r="W95"/>
      <c r="X95"/>
      <c r="Y95"/>
      <c r="Z95"/>
    </row>
    <row r="96" spans="1:26" s="26" customFormat="1" x14ac:dyDescent="0.25">
      <c r="A96" s="58"/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 s="31"/>
      <c r="S96"/>
      <c r="T96"/>
      <c r="U96"/>
      <c r="V96"/>
      <c r="W96"/>
      <c r="X96"/>
      <c r="Y96"/>
      <c r="Z96"/>
    </row>
    <row r="97" spans="1:26" s="26" customFormat="1" x14ac:dyDescent="0.25">
      <c r="A97" s="58"/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 s="31"/>
      <c r="S97"/>
      <c r="T97"/>
      <c r="U97"/>
      <c r="V97"/>
      <c r="W97"/>
      <c r="X97"/>
      <c r="Y97"/>
      <c r="Z97"/>
    </row>
    <row r="98" spans="1:26" s="26" customFormat="1" x14ac:dyDescent="0.25">
      <c r="A98" s="58"/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 s="31"/>
      <c r="S98"/>
      <c r="T98"/>
      <c r="U98"/>
      <c r="V98"/>
      <c r="W98"/>
      <c r="X98"/>
      <c r="Y98"/>
      <c r="Z98"/>
    </row>
    <row r="99" spans="1:26" s="26" customFormat="1" x14ac:dyDescent="0.25">
      <c r="A99" s="58"/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 s="31"/>
      <c r="S99"/>
      <c r="T99"/>
      <c r="U99"/>
      <c r="V99"/>
      <c r="W99"/>
      <c r="X99"/>
      <c r="Y99"/>
      <c r="Z99"/>
    </row>
    <row r="100" spans="1:26" s="26" customFormat="1" x14ac:dyDescent="0.25">
      <c r="A100" s="58"/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 s="31"/>
      <c r="S100"/>
      <c r="T100"/>
      <c r="U100"/>
      <c r="V100"/>
      <c r="W100"/>
      <c r="X100"/>
      <c r="Y100"/>
      <c r="Z100"/>
    </row>
    <row r="101" spans="1:26" s="26" customFormat="1" x14ac:dyDescent="0.25">
      <c r="A101" s="58"/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 s="31"/>
      <c r="S101"/>
      <c r="T101"/>
      <c r="U101"/>
      <c r="V101"/>
      <c r="W101"/>
      <c r="X101"/>
      <c r="Y101"/>
      <c r="Z101"/>
    </row>
    <row r="102" spans="1:26" s="26" customFormat="1" x14ac:dyDescent="0.25">
      <c r="A102" s="58"/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 s="31"/>
      <c r="S102"/>
      <c r="T102"/>
      <c r="U102"/>
      <c r="V102"/>
      <c r="W102"/>
      <c r="X102"/>
      <c r="Y102"/>
      <c r="Z102"/>
    </row>
    <row r="103" spans="1:26" s="26" customFormat="1" x14ac:dyDescent="0.25">
      <c r="A103" s="58"/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 s="31"/>
      <c r="S103"/>
      <c r="T103"/>
      <c r="U103"/>
      <c r="V103"/>
      <c r="W103"/>
      <c r="X103"/>
      <c r="Y103"/>
      <c r="Z103"/>
    </row>
    <row r="104" spans="1:26" s="26" customFormat="1" x14ac:dyDescent="0.25">
      <c r="A104" s="58"/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 s="31"/>
      <c r="S104"/>
      <c r="T104"/>
      <c r="U104"/>
      <c r="V104"/>
      <c r="W104"/>
      <c r="X104"/>
      <c r="Y104"/>
      <c r="Z104"/>
    </row>
    <row r="105" spans="1:26" s="26" customFormat="1" x14ac:dyDescent="0.25">
      <c r="A105" s="58"/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 s="31"/>
      <c r="S105"/>
      <c r="T105"/>
      <c r="U105"/>
      <c r="V105"/>
      <c r="W105"/>
      <c r="X105"/>
      <c r="Y105"/>
      <c r="Z105"/>
    </row>
    <row r="106" spans="1:26" s="26" customFormat="1" x14ac:dyDescent="0.25">
      <c r="A106" s="58"/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 s="31"/>
      <c r="S106"/>
      <c r="T106"/>
      <c r="U106"/>
      <c r="V106"/>
      <c r="W106"/>
      <c r="X106"/>
      <c r="Y106"/>
      <c r="Z106"/>
    </row>
    <row r="107" spans="1:26" s="26" customFormat="1" x14ac:dyDescent="0.25">
      <c r="A107" s="58"/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 s="31"/>
      <c r="S107"/>
      <c r="T107"/>
      <c r="U107"/>
      <c r="V107"/>
      <c r="W107"/>
      <c r="X107"/>
      <c r="Y107"/>
      <c r="Z107"/>
    </row>
    <row r="108" spans="1:26" s="26" customFormat="1" x14ac:dyDescent="0.25">
      <c r="A108" s="58"/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 s="31"/>
      <c r="S108"/>
      <c r="T108"/>
      <c r="U108"/>
      <c r="V108"/>
      <c r="W108"/>
      <c r="X108"/>
      <c r="Y108"/>
      <c r="Z108"/>
    </row>
    <row r="109" spans="1:26" s="26" customFormat="1" x14ac:dyDescent="0.25">
      <c r="A109" s="58"/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 s="31"/>
      <c r="S109"/>
      <c r="T109"/>
      <c r="U109"/>
      <c r="V109"/>
      <c r="W109"/>
      <c r="X109"/>
      <c r="Y109"/>
      <c r="Z109"/>
    </row>
    <row r="110" spans="1:26" s="26" customFormat="1" x14ac:dyDescent="0.25">
      <c r="A110" s="58"/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 s="31"/>
      <c r="S110"/>
      <c r="T110"/>
      <c r="U110"/>
      <c r="V110"/>
      <c r="W110"/>
      <c r="X110"/>
      <c r="Y110"/>
      <c r="Z110"/>
    </row>
    <row r="111" spans="1:26" s="26" customFormat="1" x14ac:dyDescent="0.25">
      <c r="A111" s="58"/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 s="31"/>
      <c r="S111"/>
      <c r="T111"/>
      <c r="U111"/>
      <c r="V111"/>
      <c r="W111"/>
      <c r="X111"/>
      <c r="Y111"/>
      <c r="Z111"/>
    </row>
    <row r="112" spans="1:26" s="26" customFormat="1" x14ac:dyDescent="0.25">
      <c r="A112" s="58"/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 s="31"/>
      <c r="S112"/>
      <c r="T112"/>
      <c r="U112"/>
      <c r="V112"/>
      <c r="W112"/>
      <c r="X112"/>
      <c r="Y112"/>
      <c r="Z112"/>
    </row>
    <row r="113" spans="1:26" s="26" customFormat="1" x14ac:dyDescent="0.25">
      <c r="A113" s="58"/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 s="31"/>
      <c r="S113"/>
      <c r="T113"/>
      <c r="U113"/>
      <c r="V113"/>
      <c r="W113"/>
      <c r="X113"/>
      <c r="Y113"/>
      <c r="Z113"/>
    </row>
    <row r="114" spans="1:26" s="26" customFormat="1" x14ac:dyDescent="0.25">
      <c r="A114" s="58"/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 s="31"/>
      <c r="S114"/>
      <c r="T114"/>
      <c r="U114"/>
      <c r="V114"/>
      <c r="W114"/>
      <c r="X114"/>
      <c r="Y114"/>
      <c r="Z114"/>
    </row>
    <row r="115" spans="1:26" s="26" customFormat="1" x14ac:dyDescent="0.25">
      <c r="A115" s="58"/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 s="31"/>
      <c r="S115"/>
      <c r="T115"/>
      <c r="U115"/>
      <c r="V115"/>
      <c r="W115"/>
      <c r="X115"/>
      <c r="Y115"/>
      <c r="Z115"/>
    </row>
    <row r="116" spans="1:26" s="26" customFormat="1" x14ac:dyDescent="0.25">
      <c r="A116" s="58"/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 s="31"/>
      <c r="S116"/>
      <c r="T116"/>
      <c r="U116"/>
      <c r="V116"/>
      <c r="W116"/>
      <c r="X116"/>
      <c r="Y116"/>
      <c r="Z116"/>
    </row>
    <row r="117" spans="1:26" s="26" customFormat="1" x14ac:dyDescent="0.25">
      <c r="A117" s="58"/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 s="31"/>
      <c r="S117"/>
      <c r="T117"/>
      <c r="U117"/>
      <c r="V117"/>
      <c r="W117"/>
      <c r="X117"/>
      <c r="Y117"/>
      <c r="Z117"/>
    </row>
    <row r="118" spans="1:26" s="26" customFormat="1" x14ac:dyDescent="0.25">
      <c r="A118" s="58"/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 s="31"/>
      <c r="S118"/>
      <c r="T118"/>
      <c r="U118"/>
      <c r="V118"/>
      <c r="W118"/>
      <c r="X118"/>
      <c r="Y118"/>
      <c r="Z118"/>
    </row>
    <row r="119" spans="1:26" s="26" customFormat="1" x14ac:dyDescent="0.25">
      <c r="A119" s="58"/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 s="31"/>
      <c r="S119"/>
      <c r="T119"/>
      <c r="U119"/>
      <c r="V119"/>
      <c r="W119"/>
      <c r="X119"/>
      <c r="Y119"/>
      <c r="Z119"/>
    </row>
    <row r="120" spans="1:26" s="26" customFormat="1" x14ac:dyDescent="0.25">
      <c r="A120" s="58"/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 s="31"/>
      <c r="S120"/>
      <c r="T120"/>
      <c r="U120"/>
      <c r="V120"/>
      <c r="W120"/>
      <c r="X120"/>
      <c r="Y120"/>
      <c r="Z120"/>
    </row>
    <row r="121" spans="1:26" s="26" customFormat="1" x14ac:dyDescent="0.25">
      <c r="A121" s="58"/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 s="31"/>
      <c r="S121"/>
      <c r="T121"/>
      <c r="U121"/>
      <c r="V121"/>
      <c r="W121"/>
      <c r="X121"/>
      <c r="Y121"/>
      <c r="Z121"/>
    </row>
    <row r="122" spans="1:26" s="26" customFormat="1" x14ac:dyDescent="0.25">
      <c r="A122" s="58"/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 s="31"/>
      <c r="S122"/>
      <c r="T122"/>
      <c r="U122"/>
      <c r="V122"/>
      <c r="W122"/>
      <c r="X122"/>
      <c r="Y122"/>
      <c r="Z122"/>
    </row>
    <row r="123" spans="1:26" s="26" customFormat="1" x14ac:dyDescent="0.25">
      <c r="A123" s="58"/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 s="31"/>
      <c r="S123"/>
      <c r="T123"/>
      <c r="U123"/>
      <c r="V123"/>
      <c r="W123"/>
      <c r="X123"/>
      <c r="Y123"/>
      <c r="Z123"/>
    </row>
    <row r="124" spans="1:26" s="26" customFormat="1" x14ac:dyDescent="0.25">
      <c r="A124" s="58"/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1"/>
      <c r="S124"/>
      <c r="T124"/>
      <c r="U124"/>
      <c r="V124"/>
      <c r="W124"/>
      <c r="X124"/>
      <c r="Y124"/>
      <c r="Z124"/>
    </row>
    <row r="125" spans="1:26" s="26" customFormat="1" x14ac:dyDescent="0.25">
      <c r="A125" s="58"/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 s="31"/>
      <c r="S125"/>
      <c r="T125"/>
      <c r="U125"/>
      <c r="V125"/>
      <c r="W125"/>
      <c r="X125"/>
      <c r="Y125"/>
      <c r="Z125"/>
    </row>
    <row r="126" spans="1:26" s="26" customFormat="1" x14ac:dyDescent="0.25">
      <c r="A126" s="58"/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 s="31"/>
      <c r="S126"/>
      <c r="T126"/>
      <c r="U126"/>
      <c r="V126"/>
      <c r="W126"/>
      <c r="X126"/>
      <c r="Y126"/>
      <c r="Z126"/>
    </row>
    <row r="127" spans="1:26" s="26" customFormat="1" x14ac:dyDescent="0.25">
      <c r="A127" s="58"/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 s="31"/>
      <c r="S127"/>
      <c r="T127"/>
      <c r="U127"/>
      <c r="V127"/>
      <c r="W127"/>
      <c r="X127"/>
      <c r="Y127"/>
      <c r="Z127"/>
    </row>
    <row r="128" spans="1:26" s="26" customFormat="1" x14ac:dyDescent="0.25">
      <c r="A128" s="58"/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 s="31"/>
      <c r="S128"/>
      <c r="T128"/>
      <c r="U128"/>
      <c r="V128"/>
      <c r="W128"/>
      <c r="X128"/>
      <c r="Y128"/>
      <c r="Z128"/>
    </row>
    <row r="129" spans="1:26" s="26" customFormat="1" x14ac:dyDescent="0.25">
      <c r="A129" s="58"/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 s="31"/>
      <c r="S129"/>
      <c r="T129"/>
      <c r="U129"/>
      <c r="V129"/>
      <c r="W129"/>
      <c r="X129"/>
      <c r="Y129"/>
      <c r="Z129"/>
    </row>
    <row r="130" spans="1:26" s="26" customFormat="1" x14ac:dyDescent="0.25">
      <c r="A130" s="58"/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 s="31"/>
      <c r="S130"/>
      <c r="T130"/>
      <c r="U130"/>
      <c r="V130"/>
      <c r="W130"/>
      <c r="X130"/>
      <c r="Y130"/>
      <c r="Z130"/>
    </row>
  </sheetData>
  <phoneticPr fontId="24" type="noConversion"/>
  <conditionalFormatting sqref="C54:C1048576 C28:C35 C1:C23">
    <cfRule type="duplicateValues" dxfId="8" priority="12"/>
  </conditionalFormatting>
  <conditionalFormatting sqref="E2:E24 E26:E35 E54:E1048576">
    <cfRule type="cellIs" dxfId="7" priority="13" operator="equal">
      <formula>#REF!</formula>
    </cfRule>
  </conditionalFormatting>
  <conditionalFormatting sqref="E25">
    <cfRule type="cellIs" dxfId="6" priority="11" operator="equal">
      <formula>#REF!</formula>
    </cfRule>
  </conditionalFormatting>
  <conditionalFormatting sqref="C24:C25">
    <cfRule type="duplicateValues" dxfId="5" priority="9"/>
  </conditionalFormatting>
  <conditionalFormatting sqref="C26:C27">
    <cfRule type="duplicateValues" dxfId="4" priority="7"/>
  </conditionalFormatting>
  <conditionalFormatting sqref="M36">
    <cfRule type="cellIs" dxfId="3" priority="6" stopIfTrue="1" operator="greaterThan">
      <formula>0.5</formula>
    </cfRule>
  </conditionalFormatting>
  <conditionalFormatting sqref="M36">
    <cfRule type="cellIs" dxfId="2" priority="5" stopIfTrue="1" operator="greaterThan">
      <formula>0.5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F49D-26B2-4E86-A156-862962E1C772}">
  <dimension ref="A1:Z332"/>
  <sheetViews>
    <sheetView zoomScaleNormal="100" workbookViewId="0">
      <pane xSplit="2" ySplit="6" topLeftCell="C310" activePane="bottomRight" state="frozen"/>
      <selection pane="topRight" activeCell="C1" sqref="C1"/>
      <selection pane="bottomLeft" activeCell="A7" sqref="A7"/>
      <selection pane="bottomRight" activeCell="I7" sqref="I7:I332"/>
    </sheetView>
  </sheetViews>
  <sheetFormatPr defaultColWidth="9.109375" defaultRowHeight="13.2" x14ac:dyDescent="0.25"/>
  <cols>
    <col min="1" max="1" width="9.109375" style="53"/>
    <col min="2" max="2" width="6" bestFit="1" customWidth="1"/>
    <col min="3" max="3" width="31.88671875" style="26" bestFit="1" customWidth="1"/>
    <col min="4" max="4" width="28.44140625" bestFit="1" customWidth="1"/>
    <col min="5" max="5" width="12.33203125" bestFit="1" customWidth="1"/>
    <col min="6" max="6" width="8.109375" bestFit="1" customWidth="1"/>
    <col min="7" max="7" width="9.109375" customWidth="1"/>
    <col min="8" max="8" width="13.109375" bestFit="1" customWidth="1"/>
    <col min="9" max="9" width="6" customWidth="1"/>
    <col min="10" max="10" width="11.109375" bestFit="1" customWidth="1"/>
    <col min="11" max="11" width="20.88671875" bestFit="1" customWidth="1"/>
    <col min="12" max="12" width="7.5546875" customWidth="1"/>
    <col min="13" max="13" width="5.109375" bestFit="1" customWidth="1"/>
    <col min="14" max="14" width="4.5546875" bestFit="1" customWidth="1"/>
    <col min="15" max="15" width="8.109375" customWidth="1"/>
    <col min="16" max="16" width="5.44140625" customWidth="1"/>
    <col min="17" max="17" width="11.44140625" bestFit="1" customWidth="1"/>
    <col min="18" max="18" width="9.88671875" style="31" customWidth="1"/>
    <col min="19" max="19" width="7.33203125" bestFit="1" customWidth="1"/>
    <col min="20" max="20" width="6" bestFit="1" customWidth="1"/>
    <col min="21" max="21" width="12.88671875" bestFit="1" customWidth="1"/>
    <col min="24" max="24" width="11" bestFit="1" customWidth="1"/>
    <col min="253" max="253" width="36.44140625" customWidth="1"/>
    <col min="254" max="254" width="29.44140625" customWidth="1"/>
    <col min="509" max="509" width="36.44140625" customWidth="1"/>
    <col min="510" max="510" width="29.44140625" customWidth="1"/>
    <col min="765" max="765" width="36.44140625" customWidth="1"/>
    <col min="766" max="766" width="29.44140625" customWidth="1"/>
    <col min="1021" max="1021" width="36.44140625" customWidth="1"/>
    <col min="1022" max="1022" width="29.44140625" customWidth="1"/>
    <col min="1277" max="1277" width="36.44140625" customWidth="1"/>
    <col min="1278" max="1278" width="29.44140625" customWidth="1"/>
    <col min="1533" max="1533" width="36.44140625" customWidth="1"/>
    <col min="1534" max="1534" width="29.44140625" customWidth="1"/>
    <col min="1789" max="1789" width="36.44140625" customWidth="1"/>
    <col min="1790" max="1790" width="29.44140625" customWidth="1"/>
    <col min="2045" max="2045" width="36.44140625" customWidth="1"/>
    <col min="2046" max="2046" width="29.44140625" customWidth="1"/>
    <col min="2301" max="2301" width="36.44140625" customWidth="1"/>
    <col min="2302" max="2302" width="29.44140625" customWidth="1"/>
    <col min="2557" max="2557" width="36.44140625" customWidth="1"/>
    <col min="2558" max="2558" width="29.44140625" customWidth="1"/>
    <col min="2813" max="2813" width="36.44140625" customWidth="1"/>
    <col min="2814" max="2814" width="29.44140625" customWidth="1"/>
    <col min="3069" max="3069" width="36.44140625" customWidth="1"/>
    <col min="3070" max="3070" width="29.44140625" customWidth="1"/>
    <col min="3325" max="3325" width="36.44140625" customWidth="1"/>
    <col min="3326" max="3326" width="29.44140625" customWidth="1"/>
    <col min="3581" max="3581" width="36.44140625" customWidth="1"/>
    <col min="3582" max="3582" width="29.44140625" customWidth="1"/>
    <col min="3837" max="3837" width="36.44140625" customWidth="1"/>
    <col min="3838" max="3838" width="29.44140625" customWidth="1"/>
    <col min="4093" max="4093" width="36.44140625" customWidth="1"/>
    <col min="4094" max="4094" width="29.44140625" customWidth="1"/>
    <col min="4349" max="4349" width="36.44140625" customWidth="1"/>
    <col min="4350" max="4350" width="29.44140625" customWidth="1"/>
    <col min="4605" max="4605" width="36.44140625" customWidth="1"/>
    <col min="4606" max="4606" width="29.44140625" customWidth="1"/>
    <col min="4861" max="4861" width="36.44140625" customWidth="1"/>
    <col min="4862" max="4862" width="29.44140625" customWidth="1"/>
    <col min="5117" max="5117" width="36.44140625" customWidth="1"/>
    <col min="5118" max="5118" width="29.44140625" customWidth="1"/>
    <col min="5373" max="5373" width="36.44140625" customWidth="1"/>
    <col min="5374" max="5374" width="29.44140625" customWidth="1"/>
    <col min="5629" max="5629" width="36.44140625" customWidth="1"/>
    <col min="5630" max="5630" width="29.44140625" customWidth="1"/>
    <col min="5885" max="5885" width="36.44140625" customWidth="1"/>
    <col min="5886" max="5886" width="29.44140625" customWidth="1"/>
    <col min="6141" max="6141" width="36.44140625" customWidth="1"/>
    <col min="6142" max="6142" width="29.44140625" customWidth="1"/>
    <col min="6397" max="6397" width="36.44140625" customWidth="1"/>
    <col min="6398" max="6398" width="29.44140625" customWidth="1"/>
    <col min="6653" max="6653" width="36.44140625" customWidth="1"/>
    <col min="6654" max="6654" width="29.44140625" customWidth="1"/>
    <col min="6909" max="6909" width="36.44140625" customWidth="1"/>
    <col min="6910" max="6910" width="29.44140625" customWidth="1"/>
    <col min="7165" max="7165" width="36.44140625" customWidth="1"/>
    <col min="7166" max="7166" width="29.44140625" customWidth="1"/>
    <col min="7421" max="7421" width="36.44140625" customWidth="1"/>
    <col min="7422" max="7422" width="29.44140625" customWidth="1"/>
    <col min="7677" max="7677" width="36.44140625" customWidth="1"/>
    <col min="7678" max="7678" width="29.44140625" customWidth="1"/>
    <col min="7933" max="7933" width="36.44140625" customWidth="1"/>
    <col min="7934" max="7934" width="29.44140625" customWidth="1"/>
    <col min="8189" max="8189" width="36.44140625" customWidth="1"/>
    <col min="8190" max="8190" width="29.44140625" customWidth="1"/>
    <col min="8445" max="8445" width="36.44140625" customWidth="1"/>
    <col min="8446" max="8446" width="29.44140625" customWidth="1"/>
    <col min="8701" max="8701" width="36.44140625" customWidth="1"/>
    <col min="8702" max="8702" width="29.44140625" customWidth="1"/>
    <col min="8957" max="8957" width="36.44140625" customWidth="1"/>
    <col min="8958" max="8958" width="29.44140625" customWidth="1"/>
    <col min="9213" max="9213" width="36.44140625" customWidth="1"/>
    <col min="9214" max="9214" width="29.44140625" customWidth="1"/>
    <col min="9469" max="9469" width="36.44140625" customWidth="1"/>
    <col min="9470" max="9470" width="29.44140625" customWidth="1"/>
    <col min="9725" max="9725" width="36.44140625" customWidth="1"/>
    <col min="9726" max="9726" width="29.44140625" customWidth="1"/>
    <col min="9981" max="9981" width="36.44140625" customWidth="1"/>
    <col min="9982" max="9982" width="29.44140625" customWidth="1"/>
    <col min="10237" max="10237" width="36.44140625" customWidth="1"/>
    <col min="10238" max="10238" width="29.44140625" customWidth="1"/>
    <col min="10493" max="10493" width="36.44140625" customWidth="1"/>
    <col min="10494" max="10494" width="29.44140625" customWidth="1"/>
    <col min="10749" max="10749" width="36.44140625" customWidth="1"/>
    <col min="10750" max="10750" width="29.44140625" customWidth="1"/>
    <col min="11005" max="11005" width="36.44140625" customWidth="1"/>
    <col min="11006" max="11006" width="29.44140625" customWidth="1"/>
    <col min="11261" max="11261" width="36.44140625" customWidth="1"/>
    <col min="11262" max="11262" width="29.44140625" customWidth="1"/>
    <col min="11517" max="11517" width="36.44140625" customWidth="1"/>
    <col min="11518" max="11518" width="29.44140625" customWidth="1"/>
    <col min="11773" max="11773" width="36.44140625" customWidth="1"/>
    <col min="11774" max="11774" width="29.44140625" customWidth="1"/>
    <col min="12029" max="12029" width="36.44140625" customWidth="1"/>
    <col min="12030" max="12030" width="29.44140625" customWidth="1"/>
    <col min="12285" max="12285" width="36.44140625" customWidth="1"/>
    <col min="12286" max="12286" width="29.44140625" customWidth="1"/>
    <col min="12541" max="12541" width="36.44140625" customWidth="1"/>
    <col min="12542" max="12542" width="29.44140625" customWidth="1"/>
    <col min="12797" max="12797" width="36.44140625" customWidth="1"/>
    <col min="12798" max="12798" width="29.44140625" customWidth="1"/>
    <col min="13053" max="13053" width="36.44140625" customWidth="1"/>
    <col min="13054" max="13054" width="29.44140625" customWidth="1"/>
    <col min="13309" max="13309" width="36.44140625" customWidth="1"/>
    <col min="13310" max="13310" width="29.44140625" customWidth="1"/>
    <col min="13565" max="13565" width="36.44140625" customWidth="1"/>
    <col min="13566" max="13566" width="29.44140625" customWidth="1"/>
    <col min="13821" max="13821" width="36.44140625" customWidth="1"/>
    <col min="13822" max="13822" width="29.44140625" customWidth="1"/>
    <col min="14077" max="14077" width="36.44140625" customWidth="1"/>
    <col min="14078" max="14078" width="29.44140625" customWidth="1"/>
    <col min="14333" max="14333" width="36.44140625" customWidth="1"/>
    <col min="14334" max="14334" width="29.44140625" customWidth="1"/>
    <col min="14589" max="14589" width="36.44140625" customWidth="1"/>
    <col min="14590" max="14590" width="29.44140625" customWidth="1"/>
    <col min="14845" max="14845" width="36.44140625" customWidth="1"/>
    <col min="14846" max="14846" width="29.44140625" customWidth="1"/>
    <col min="15101" max="15101" width="36.44140625" customWidth="1"/>
    <col min="15102" max="15102" width="29.44140625" customWidth="1"/>
    <col min="15357" max="15357" width="36.44140625" customWidth="1"/>
    <col min="15358" max="15358" width="29.44140625" customWidth="1"/>
    <col min="15613" max="15613" width="36.44140625" customWidth="1"/>
    <col min="15614" max="15614" width="29.44140625" customWidth="1"/>
    <col min="15869" max="15869" width="36.44140625" customWidth="1"/>
    <col min="15870" max="15870" width="29.44140625" customWidth="1"/>
    <col min="16125" max="16125" width="36.44140625" customWidth="1"/>
    <col min="16126" max="16126" width="29.44140625" customWidth="1"/>
  </cols>
  <sheetData>
    <row r="1" spans="1:26" s="25" customFormat="1" ht="13.8" x14ac:dyDescent="0.25">
      <c r="A1" s="24"/>
      <c r="C1" s="26"/>
      <c r="D1" s="27" t="s">
        <v>40</v>
      </c>
      <c r="E1" s="27">
        <v>1</v>
      </c>
      <c r="M1" s="28"/>
      <c r="R1" s="29"/>
    </row>
    <row r="2" spans="1:26" x14ac:dyDescent="0.25">
      <c r="M2" s="30"/>
    </row>
    <row r="3" spans="1:26" s="9" customFormat="1" x14ac:dyDescent="0.25">
      <c r="A3" s="57" t="s">
        <v>1</v>
      </c>
      <c r="B3" s="8" t="s">
        <v>14</v>
      </c>
      <c r="C3" s="8" t="s">
        <v>2</v>
      </c>
      <c r="D3" s="15"/>
      <c r="E3" s="20"/>
      <c r="F3" s="22"/>
      <c r="G3" s="22"/>
      <c r="H3" s="23"/>
      <c r="I3" s="10"/>
      <c r="J3" s="11"/>
      <c r="K3" s="11"/>
      <c r="L3" s="12"/>
      <c r="M3" s="13"/>
      <c r="N3" s="14"/>
      <c r="O3" s="12"/>
      <c r="P3" s="12"/>
      <c r="Q3" s="12"/>
      <c r="R3" s="32"/>
    </row>
    <row r="4" spans="1:26" s="9" customFormat="1" x14ac:dyDescent="0.25">
      <c r="A4" s="58" t="s">
        <v>15</v>
      </c>
      <c r="B4" s="38">
        <v>11326</v>
      </c>
      <c r="C4" t="s">
        <v>71</v>
      </c>
      <c r="D4" s="15"/>
      <c r="E4"/>
      <c r="F4" s="22"/>
      <c r="G4" s="22"/>
      <c r="H4" s="23"/>
      <c r="I4" s="10"/>
      <c r="J4" s="11"/>
      <c r="K4" s="11"/>
      <c r="L4" s="12"/>
      <c r="M4" s="13"/>
      <c r="N4" s="14"/>
      <c r="O4" s="12"/>
      <c r="P4" s="12"/>
      <c r="Q4" s="12"/>
      <c r="R4" s="32"/>
    </row>
    <row r="5" spans="1:26" x14ac:dyDescent="0.25">
      <c r="A5" s="58"/>
      <c r="M5" s="30"/>
    </row>
    <row r="6" spans="1:26" ht="39.6" x14ac:dyDescent="0.25">
      <c r="A6" s="52" t="s">
        <v>1</v>
      </c>
      <c r="B6" s="16" t="s">
        <v>14</v>
      </c>
      <c r="C6" s="16" t="s">
        <v>2</v>
      </c>
      <c r="D6" s="16" t="s">
        <v>8</v>
      </c>
      <c r="E6" s="16" t="s">
        <v>27</v>
      </c>
      <c r="F6" s="33" t="s">
        <v>41</v>
      </c>
      <c r="G6" s="34" t="s">
        <v>42</v>
      </c>
      <c r="H6" s="35" t="s">
        <v>43</v>
      </c>
      <c r="I6" s="17" t="s">
        <v>16</v>
      </c>
      <c r="J6" s="18" t="s">
        <v>9</v>
      </c>
      <c r="K6" s="18" t="s">
        <v>17</v>
      </c>
      <c r="L6" s="16" t="s">
        <v>18</v>
      </c>
      <c r="M6" s="19" t="s">
        <v>19</v>
      </c>
      <c r="N6" s="21" t="s">
        <v>20</v>
      </c>
      <c r="O6" s="16" t="s">
        <v>21</v>
      </c>
      <c r="P6" s="16" t="s">
        <v>22</v>
      </c>
      <c r="Q6" s="16" t="s">
        <v>23</v>
      </c>
      <c r="R6" s="16" t="s">
        <v>75</v>
      </c>
      <c r="S6" s="16" t="s">
        <v>76</v>
      </c>
      <c r="T6" s="16" t="s">
        <v>77</v>
      </c>
      <c r="U6" s="16" t="s">
        <v>24</v>
      </c>
      <c r="V6" s="16" t="s">
        <v>28</v>
      </c>
      <c r="W6" s="16" t="s">
        <v>29</v>
      </c>
      <c r="X6" s="16" t="s">
        <v>25</v>
      </c>
      <c r="Y6" s="16" t="s">
        <v>44</v>
      </c>
      <c r="Z6" s="16" t="s">
        <v>45</v>
      </c>
    </row>
    <row r="7" spans="1:26" x14ac:dyDescent="0.25">
      <c r="A7" s="53" t="s">
        <v>26</v>
      </c>
      <c r="B7">
        <v>11000</v>
      </c>
      <c r="C7" t="str">
        <f>"PSR_"&amp;G7&amp;IF(L7=0,"_DN_","_UP_")&amp;Q7</f>
        <v>PSR_50_DN_95 km/h</v>
      </c>
      <c r="D7" t="s">
        <v>65</v>
      </c>
      <c r="E7" t="s">
        <v>101</v>
      </c>
      <c r="G7">
        <v>50</v>
      </c>
      <c r="H7" s="37">
        <f>G7</f>
        <v>50</v>
      </c>
      <c r="I7" s="60">
        <f>IF("generated"=1, "Path=CLM_1, Scaled Offset=50", 50)</f>
        <v>50</v>
      </c>
      <c r="J7" t="s">
        <v>97</v>
      </c>
      <c r="M7">
        <v>-2.5</v>
      </c>
      <c r="Q7" t="s">
        <v>425</v>
      </c>
      <c r="S7" s="31"/>
      <c r="T7" s="31"/>
    </row>
    <row r="8" spans="1:26" x14ac:dyDescent="0.25">
      <c r="A8" s="53" t="s">
        <v>26</v>
      </c>
      <c r="B8">
        <v>11001</v>
      </c>
      <c r="C8" t="str">
        <f>"PSR_"&amp;G8&amp;IF(L8=0,"_DN_","_UP_")&amp;Q8</f>
        <v>PSR_19900_UP_95 km/h</v>
      </c>
      <c r="D8" t="s">
        <v>65</v>
      </c>
      <c r="E8" t="s">
        <v>101</v>
      </c>
      <c r="G8">
        <v>19900</v>
      </c>
      <c r="H8" s="37">
        <f>G8</f>
        <v>19900</v>
      </c>
      <c r="I8" s="60">
        <f>IF("generated"=1, "Path=CLM_1, Scaled Offset=19900", 19900)</f>
        <v>19900</v>
      </c>
      <c r="J8" t="s">
        <v>97</v>
      </c>
      <c r="L8">
        <v>1</v>
      </c>
      <c r="M8">
        <v>-2.5</v>
      </c>
      <c r="Q8" t="s">
        <v>425</v>
      </c>
      <c r="S8" s="31"/>
      <c r="T8" s="31"/>
    </row>
    <row r="9" spans="1:26" s="26" customFormat="1" x14ac:dyDescent="0.25">
      <c r="A9" s="53" t="s">
        <v>26</v>
      </c>
      <c r="B9">
        <v>11002</v>
      </c>
      <c r="C9" t="s">
        <v>102</v>
      </c>
      <c r="D9" t="s">
        <v>47</v>
      </c>
      <c r="E9" t="s">
        <v>101</v>
      </c>
      <c r="F9"/>
      <c r="G9" s="37">
        <v>55.53</v>
      </c>
      <c r="H9" s="37">
        <f t="shared" ref="H9:H72" si="0">G9</f>
        <v>55.53</v>
      </c>
      <c r="I9" s="60">
        <f>IF("generated"=1, "Path=CLM_1, Scaled Offset=55.530000000000001136868377216160297", 55.53)</f>
        <v>55.53</v>
      </c>
      <c r="J9" t="s">
        <v>97</v>
      </c>
      <c r="K9"/>
      <c r="L9"/>
      <c r="M9"/>
      <c r="N9"/>
      <c r="O9"/>
      <c r="P9"/>
      <c r="Q9"/>
      <c r="R9" s="31"/>
      <c r="S9"/>
      <c r="T9"/>
      <c r="U9"/>
      <c r="V9"/>
      <c r="W9"/>
      <c r="X9"/>
      <c r="Y9"/>
      <c r="Z9"/>
    </row>
    <row r="10" spans="1:26" s="26" customFormat="1" x14ac:dyDescent="0.25">
      <c r="A10" s="53" t="s">
        <v>26</v>
      </c>
      <c r="B10">
        <v>11003</v>
      </c>
      <c r="C10" t="s">
        <v>103</v>
      </c>
      <c r="D10" t="s">
        <v>47</v>
      </c>
      <c r="E10" t="s">
        <v>101</v>
      </c>
      <c r="F10"/>
      <c r="G10" s="37">
        <v>81.849999999999994</v>
      </c>
      <c r="H10" s="37">
        <f t="shared" si="0"/>
        <v>81.849999999999994</v>
      </c>
      <c r="I10" s="60">
        <f>IF("generated"=1, "Path=CLM_1, Scaled Offset=81.849999999999994315658113919198513", 81.8499999999999)</f>
        <v>81.849999999999895</v>
      </c>
      <c r="J10" t="s">
        <v>97</v>
      </c>
      <c r="K10"/>
      <c r="L10"/>
      <c r="M10"/>
      <c r="N10"/>
      <c r="O10"/>
      <c r="P10"/>
      <c r="Q10"/>
      <c r="R10" s="31"/>
      <c r="S10"/>
      <c r="T10"/>
      <c r="U10"/>
      <c r="V10"/>
      <c r="W10"/>
      <c r="X10"/>
      <c r="Y10"/>
      <c r="Z10"/>
    </row>
    <row r="11" spans="1:26" s="26" customFormat="1" x14ac:dyDescent="0.25">
      <c r="A11" s="53" t="s">
        <v>26</v>
      </c>
      <c r="B11">
        <v>11004</v>
      </c>
      <c r="C11" t="s">
        <v>104</v>
      </c>
      <c r="D11" t="s">
        <v>47</v>
      </c>
      <c r="E11" t="s">
        <v>101</v>
      </c>
      <c r="F11"/>
      <c r="G11" s="37">
        <v>149.56</v>
      </c>
      <c r="H11" s="37">
        <f t="shared" si="0"/>
        <v>149.56</v>
      </c>
      <c r="I11" s="60">
        <f>IF("generated"=1, "Path=CLM_1, Scaled Offset=149.56000000000000227373675443232059", 149.56)</f>
        <v>149.56</v>
      </c>
      <c r="J11" t="s">
        <v>97</v>
      </c>
      <c r="K11"/>
      <c r="L11"/>
      <c r="M11"/>
      <c r="N11"/>
      <c r="O11"/>
      <c r="P11"/>
      <c r="Q11"/>
      <c r="R11" s="31"/>
      <c r="S11"/>
      <c r="T11"/>
      <c r="U11"/>
      <c r="V11"/>
      <c r="W11"/>
      <c r="X11"/>
      <c r="Y11"/>
      <c r="Z11"/>
    </row>
    <row r="12" spans="1:26" s="26" customFormat="1" x14ac:dyDescent="0.25">
      <c r="A12" s="53" t="s">
        <v>26</v>
      </c>
      <c r="B12">
        <v>11005</v>
      </c>
      <c r="C12" t="s">
        <v>105</v>
      </c>
      <c r="D12" t="s">
        <v>47</v>
      </c>
      <c r="E12" t="s">
        <v>101</v>
      </c>
      <c r="F12"/>
      <c r="G12" s="37">
        <v>177.97</v>
      </c>
      <c r="H12" s="37">
        <f t="shared" si="0"/>
        <v>177.97</v>
      </c>
      <c r="I12" s="60">
        <f>IF("generated"=1, "Path=CLM_1, Scaled Offset=177.9699999999999988631316227838397", 177.969999999999)</f>
        <v>177.969999999999</v>
      </c>
      <c r="J12" t="s">
        <v>97</v>
      </c>
      <c r="K12"/>
      <c r="L12"/>
      <c r="M12"/>
      <c r="N12"/>
      <c r="O12"/>
      <c r="P12"/>
      <c r="Q12"/>
      <c r="R12" s="31"/>
      <c r="S12"/>
      <c r="T12"/>
      <c r="U12"/>
      <c r="V12"/>
      <c r="W12"/>
      <c r="X12"/>
      <c r="Y12"/>
      <c r="Z12"/>
    </row>
    <row r="13" spans="1:26" s="26" customFormat="1" x14ac:dyDescent="0.25">
      <c r="A13" s="53" t="s">
        <v>26</v>
      </c>
      <c r="B13">
        <v>11006</v>
      </c>
      <c r="C13" t="s">
        <v>106</v>
      </c>
      <c r="D13" t="s">
        <v>47</v>
      </c>
      <c r="E13" t="s">
        <v>101</v>
      </c>
      <c r="F13"/>
      <c r="G13" s="37">
        <v>223.81</v>
      </c>
      <c r="H13" s="37">
        <f t="shared" si="0"/>
        <v>223.81</v>
      </c>
      <c r="I13" s="60">
        <f>IF("generated"=1, "Path=CLM_1, Scaled Offset=223.81000000000000227373675443232059", 223.81)</f>
        <v>223.81</v>
      </c>
      <c r="J13" t="s">
        <v>97</v>
      </c>
      <c r="K13"/>
      <c r="L13"/>
      <c r="M13"/>
      <c r="N13"/>
      <c r="O13"/>
      <c r="P13"/>
      <c r="Q13"/>
      <c r="R13" s="31"/>
      <c r="S13"/>
      <c r="T13"/>
      <c r="U13"/>
      <c r="V13"/>
      <c r="W13"/>
      <c r="X13"/>
      <c r="Y13"/>
      <c r="Z13"/>
    </row>
    <row r="14" spans="1:26" s="26" customFormat="1" x14ac:dyDescent="0.25">
      <c r="A14" s="53" t="s">
        <v>26</v>
      </c>
      <c r="B14">
        <v>11007</v>
      </c>
      <c r="C14" t="s">
        <v>107</v>
      </c>
      <c r="D14" t="s">
        <v>47</v>
      </c>
      <c r="E14" t="s">
        <v>101</v>
      </c>
      <c r="F14"/>
      <c r="G14" s="37">
        <v>263.3</v>
      </c>
      <c r="H14" s="37">
        <f t="shared" si="0"/>
        <v>263.3</v>
      </c>
      <c r="I14" s="60">
        <f>IF("generated"=1, "Path=CLM_1, Scaled Offset=263.30000000000001136868377216160297", 263.3)</f>
        <v>263.3</v>
      </c>
      <c r="J14" t="s">
        <v>97</v>
      </c>
      <c r="K14"/>
      <c r="L14"/>
      <c r="M14"/>
      <c r="N14"/>
      <c r="O14"/>
      <c r="P14"/>
      <c r="Q14"/>
      <c r="R14" s="31"/>
      <c r="S14"/>
      <c r="T14"/>
      <c r="U14"/>
      <c r="V14"/>
      <c r="W14"/>
      <c r="X14"/>
      <c r="Y14"/>
      <c r="Z14"/>
    </row>
    <row r="15" spans="1:26" s="26" customFormat="1" x14ac:dyDescent="0.25">
      <c r="A15" s="53" t="s">
        <v>26</v>
      </c>
      <c r="B15">
        <v>11008</v>
      </c>
      <c r="C15" t="s">
        <v>108</v>
      </c>
      <c r="D15" t="s">
        <v>47</v>
      </c>
      <c r="E15" t="s">
        <v>101</v>
      </c>
      <c r="F15"/>
      <c r="G15" s="37">
        <v>314.22000000000003</v>
      </c>
      <c r="H15" s="37">
        <f t="shared" si="0"/>
        <v>314.22000000000003</v>
      </c>
      <c r="I15" s="60">
        <f>IF("generated"=1, "Path=CLM_1, Scaled Offset=314.22000000000002728484105318784714", 314.22)</f>
        <v>314.22000000000003</v>
      </c>
      <c r="J15" t="s">
        <v>97</v>
      </c>
      <c r="K15"/>
      <c r="L15"/>
      <c r="M15"/>
      <c r="N15"/>
      <c r="O15"/>
      <c r="P15"/>
      <c r="Q15"/>
      <c r="R15" s="31"/>
      <c r="S15"/>
      <c r="T15"/>
      <c r="U15"/>
      <c r="V15"/>
      <c r="W15"/>
      <c r="X15"/>
      <c r="Y15"/>
      <c r="Z15"/>
    </row>
    <row r="16" spans="1:26" s="26" customFormat="1" x14ac:dyDescent="0.25">
      <c r="A16" s="53" t="s">
        <v>26</v>
      </c>
      <c r="B16">
        <v>11009</v>
      </c>
      <c r="C16" t="s">
        <v>109</v>
      </c>
      <c r="D16" t="s">
        <v>47</v>
      </c>
      <c r="E16" t="s">
        <v>101</v>
      </c>
      <c r="F16"/>
      <c r="G16" s="37">
        <v>375.64</v>
      </c>
      <c r="H16" s="37">
        <f t="shared" si="0"/>
        <v>375.64</v>
      </c>
      <c r="I16" s="60">
        <f>IF("generated"=1, "Path=CLM_1, Scaled Offset=375.63999999999998635757947340607643", 375.639999999999)</f>
        <v>375.63999999999902</v>
      </c>
      <c r="J16" t="s">
        <v>97</v>
      </c>
      <c r="K16"/>
      <c r="L16"/>
      <c r="M16"/>
      <c r="N16"/>
      <c r="O16"/>
      <c r="P16"/>
      <c r="Q16"/>
      <c r="R16" s="31"/>
      <c r="S16"/>
      <c r="T16"/>
      <c r="U16"/>
      <c r="V16"/>
      <c r="W16"/>
      <c r="X16"/>
      <c r="Y16"/>
      <c r="Z16"/>
    </row>
    <row r="17" spans="1:26" s="26" customFormat="1" x14ac:dyDescent="0.25">
      <c r="A17" s="53" t="s">
        <v>26</v>
      </c>
      <c r="B17">
        <v>11010</v>
      </c>
      <c r="C17" t="s">
        <v>110</v>
      </c>
      <c r="D17" t="s">
        <v>47</v>
      </c>
      <c r="E17" t="s">
        <v>101</v>
      </c>
      <c r="F17"/>
      <c r="G17" s="37">
        <v>401</v>
      </c>
      <c r="H17" s="37">
        <f t="shared" si="0"/>
        <v>401</v>
      </c>
      <c r="I17" s="60">
        <f>IF("generated"=1, "Path=CLM_1, Scaled Offset=401", 401)</f>
        <v>401</v>
      </c>
      <c r="J17" t="s">
        <v>97</v>
      </c>
      <c r="K17"/>
      <c r="L17"/>
      <c r="M17"/>
      <c r="N17"/>
      <c r="O17"/>
      <c r="P17"/>
      <c r="Q17"/>
      <c r="R17" s="31"/>
      <c r="S17"/>
      <c r="T17"/>
      <c r="U17"/>
      <c r="V17"/>
      <c r="W17"/>
      <c r="X17"/>
      <c r="Y17"/>
      <c r="Z17"/>
    </row>
    <row r="18" spans="1:26" s="26" customFormat="1" x14ac:dyDescent="0.25">
      <c r="A18" s="53" t="s">
        <v>26</v>
      </c>
      <c r="B18">
        <v>11011</v>
      </c>
      <c r="C18" t="s">
        <v>111</v>
      </c>
      <c r="D18" t="s">
        <v>47</v>
      </c>
      <c r="E18" t="s">
        <v>101</v>
      </c>
      <c r="F18"/>
      <c r="G18" s="37">
        <v>521</v>
      </c>
      <c r="H18" s="37">
        <f t="shared" si="0"/>
        <v>521</v>
      </c>
      <c r="I18" s="60">
        <f>IF("generated"=1, "Path=CLM_1, Scaled Offset=521", 521)</f>
        <v>521</v>
      </c>
      <c r="J18" t="s">
        <v>97</v>
      </c>
      <c r="K18"/>
      <c r="L18"/>
      <c r="M18"/>
      <c r="N18"/>
      <c r="O18"/>
      <c r="P18"/>
      <c r="Q18"/>
      <c r="R18" s="31"/>
      <c r="S18"/>
      <c r="T18"/>
      <c r="U18"/>
      <c r="V18"/>
      <c r="W18"/>
      <c r="X18"/>
      <c r="Y18"/>
      <c r="Z18"/>
    </row>
    <row r="19" spans="1:26" s="26" customFormat="1" x14ac:dyDescent="0.25">
      <c r="A19" s="53" t="s">
        <v>26</v>
      </c>
      <c r="B19">
        <v>11012</v>
      </c>
      <c r="C19" t="s">
        <v>112</v>
      </c>
      <c r="D19" t="s">
        <v>47</v>
      </c>
      <c r="E19" t="s">
        <v>101</v>
      </c>
      <c r="F19"/>
      <c r="G19" s="37">
        <v>542</v>
      </c>
      <c r="H19" s="37">
        <f t="shared" si="0"/>
        <v>542</v>
      </c>
      <c r="I19" s="60">
        <f>IF("generated"=1, "Path=CLM_1, Scaled Offset=542", 542)</f>
        <v>542</v>
      </c>
      <c r="J19" t="s">
        <v>97</v>
      </c>
      <c r="K19"/>
      <c r="L19"/>
      <c r="M19"/>
      <c r="N19"/>
      <c r="O19"/>
      <c r="P19"/>
      <c r="Q19"/>
      <c r="R19" s="31"/>
      <c r="S19"/>
      <c r="T19"/>
      <c r="U19"/>
      <c r="V19"/>
      <c r="W19"/>
      <c r="X19"/>
      <c r="Y19"/>
      <c r="Z19"/>
    </row>
    <row r="20" spans="1:26" s="26" customFormat="1" x14ac:dyDescent="0.25">
      <c r="A20" s="53" t="s">
        <v>26</v>
      </c>
      <c r="B20">
        <v>11013</v>
      </c>
      <c r="C20" t="s">
        <v>113</v>
      </c>
      <c r="D20" t="s">
        <v>47</v>
      </c>
      <c r="E20" t="s">
        <v>101</v>
      </c>
      <c r="F20"/>
      <c r="G20" s="37">
        <v>637.67999999999995</v>
      </c>
      <c r="H20" s="37">
        <f t="shared" si="0"/>
        <v>637.67999999999995</v>
      </c>
      <c r="I20" s="60">
        <f>IF("generated"=1, "Path=CLM_1, Scaled Offset=637.67999999999994997779140248894691", 637.679999999999)</f>
        <v>637.67999999999904</v>
      </c>
      <c r="J20" t="s">
        <v>97</v>
      </c>
      <c r="K20"/>
      <c r="L20"/>
      <c r="M20"/>
      <c r="N20"/>
      <c r="O20"/>
      <c r="P20"/>
      <c r="Q20"/>
      <c r="R20" s="31"/>
      <c r="S20"/>
      <c r="T20"/>
      <c r="U20"/>
      <c r="V20"/>
      <c r="W20"/>
      <c r="X20"/>
      <c r="Y20"/>
      <c r="Z20"/>
    </row>
    <row r="21" spans="1:26" s="26" customFormat="1" x14ac:dyDescent="0.25">
      <c r="A21" s="53" t="s">
        <v>26</v>
      </c>
      <c r="B21">
        <v>11014</v>
      </c>
      <c r="C21" t="s">
        <v>114</v>
      </c>
      <c r="D21" t="s">
        <v>47</v>
      </c>
      <c r="E21" t="s">
        <v>101</v>
      </c>
      <c r="F21"/>
      <c r="G21" s="37">
        <v>652.54</v>
      </c>
      <c r="H21" s="37">
        <f t="shared" si="0"/>
        <v>652.54</v>
      </c>
      <c r="I21" s="60">
        <f>IF("generated"=1, "Path=CLM_1, Scaled Offset=652.53999999999996362021192908287048", 652.539999999999)</f>
        <v>652.53999999999905</v>
      </c>
      <c r="J21" t="s">
        <v>97</v>
      </c>
      <c r="K21"/>
      <c r="L21"/>
      <c r="M21"/>
      <c r="N21"/>
      <c r="O21"/>
      <c r="P21"/>
      <c r="Q21"/>
      <c r="R21" s="31"/>
      <c r="S21"/>
      <c r="T21"/>
      <c r="U21"/>
      <c r="V21"/>
      <c r="W21"/>
      <c r="X21"/>
      <c r="Y21"/>
      <c r="Z21"/>
    </row>
    <row r="22" spans="1:26" s="26" customFormat="1" x14ac:dyDescent="0.25">
      <c r="A22" s="53" t="s">
        <v>26</v>
      </c>
      <c r="B22">
        <v>11015</v>
      </c>
      <c r="C22" t="s">
        <v>115</v>
      </c>
      <c r="D22" t="s">
        <v>47</v>
      </c>
      <c r="E22" t="s">
        <v>101</v>
      </c>
      <c r="F22"/>
      <c r="G22" s="37">
        <v>655.54</v>
      </c>
      <c r="H22" s="37">
        <f t="shared" si="0"/>
        <v>655.54</v>
      </c>
      <c r="I22" s="60">
        <f>IF("generated"=1, "Path=CLM_1, Scaled Offset=655.53999999999996362021192908287048", 655.539999999999)</f>
        <v>655.53999999999905</v>
      </c>
      <c r="J22" t="s">
        <v>97</v>
      </c>
      <c r="K22"/>
      <c r="L22"/>
      <c r="M22"/>
      <c r="N22"/>
      <c r="O22"/>
      <c r="P22"/>
      <c r="Q22"/>
      <c r="R22" s="31"/>
      <c r="S22"/>
      <c r="T22"/>
      <c r="U22"/>
      <c r="V22"/>
      <c r="W22"/>
      <c r="X22"/>
      <c r="Y22"/>
      <c r="Z22"/>
    </row>
    <row r="23" spans="1:26" s="26" customFormat="1" x14ac:dyDescent="0.25">
      <c r="A23" s="53" t="s">
        <v>26</v>
      </c>
      <c r="B23">
        <v>11016</v>
      </c>
      <c r="C23" t="s">
        <v>116</v>
      </c>
      <c r="D23" t="s">
        <v>47</v>
      </c>
      <c r="E23" t="s">
        <v>101</v>
      </c>
      <c r="F23"/>
      <c r="G23" s="37">
        <v>675.46</v>
      </c>
      <c r="H23" s="37">
        <f t="shared" si="0"/>
        <v>675.46</v>
      </c>
      <c r="I23" s="60">
        <f>IF("generated"=1, "Path=CLM_1, Scaled Offset=675.46000000000003637978807091712952", 675.46)</f>
        <v>675.46</v>
      </c>
      <c r="J23" t="s">
        <v>97</v>
      </c>
      <c r="K23"/>
      <c r="L23"/>
      <c r="M23"/>
      <c r="N23"/>
      <c r="O23"/>
      <c r="P23"/>
      <c r="Q23"/>
      <c r="R23" s="31"/>
      <c r="S23"/>
      <c r="T23"/>
      <c r="U23"/>
      <c r="V23"/>
      <c r="W23"/>
      <c r="X23"/>
      <c r="Y23"/>
      <c r="Z23"/>
    </row>
    <row r="24" spans="1:26" s="26" customFormat="1" x14ac:dyDescent="0.25">
      <c r="A24" s="53" t="s">
        <v>26</v>
      </c>
      <c r="B24">
        <v>11017</v>
      </c>
      <c r="C24" t="s">
        <v>117</v>
      </c>
      <c r="D24" t="s">
        <v>47</v>
      </c>
      <c r="E24" t="s">
        <v>101</v>
      </c>
      <c r="F24"/>
      <c r="G24" s="37">
        <v>678.46</v>
      </c>
      <c r="H24" s="37">
        <f t="shared" si="0"/>
        <v>678.46</v>
      </c>
      <c r="I24" s="60">
        <f>IF("generated"=1, "Path=CLM_1, Scaled Offset=678.46000000000003637978807091712952", 678.46)</f>
        <v>678.46</v>
      </c>
      <c r="J24" t="s">
        <v>97</v>
      </c>
      <c r="K24"/>
      <c r="L24"/>
      <c r="M24"/>
      <c r="N24"/>
      <c r="O24"/>
      <c r="P24"/>
      <c r="Q24"/>
      <c r="R24" s="31"/>
      <c r="S24"/>
      <c r="T24"/>
      <c r="U24"/>
      <c r="V24"/>
      <c r="W24"/>
      <c r="X24"/>
      <c r="Y24"/>
      <c r="Z24"/>
    </row>
    <row r="25" spans="1:26" s="26" customFormat="1" x14ac:dyDescent="0.25">
      <c r="A25" s="53" t="s">
        <v>26</v>
      </c>
      <c r="B25">
        <v>11018</v>
      </c>
      <c r="C25" t="s">
        <v>118</v>
      </c>
      <c r="D25" t="s">
        <v>47</v>
      </c>
      <c r="E25" t="s">
        <v>101</v>
      </c>
      <c r="F25"/>
      <c r="G25" s="37">
        <v>736.48</v>
      </c>
      <c r="H25" s="37">
        <f t="shared" si="0"/>
        <v>736.48</v>
      </c>
      <c r="I25" s="60">
        <f>IF("generated"=1, "Path=CLM_1, Scaled Offset=736.48000000000001818989403545856476", 736.48)</f>
        <v>736.48</v>
      </c>
      <c r="J25" t="s">
        <v>97</v>
      </c>
      <c r="K25"/>
      <c r="L25"/>
      <c r="M25"/>
      <c r="N25"/>
      <c r="O25"/>
      <c r="P25"/>
      <c r="Q25"/>
      <c r="R25" s="31"/>
      <c r="S25"/>
      <c r="T25"/>
      <c r="U25"/>
      <c r="V25"/>
      <c r="W25"/>
      <c r="X25"/>
      <c r="Y25"/>
      <c r="Z25"/>
    </row>
    <row r="26" spans="1:26" s="26" customFormat="1" x14ac:dyDescent="0.25">
      <c r="A26" s="53" t="s">
        <v>26</v>
      </c>
      <c r="B26">
        <v>11019</v>
      </c>
      <c r="C26" t="s">
        <v>119</v>
      </c>
      <c r="D26" t="s">
        <v>47</v>
      </c>
      <c r="E26" t="s">
        <v>101</v>
      </c>
      <c r="F26"/>
      <c r="G26" s="37">
        <v>771.58</v>
      </c>
      <c r="H26" s="37">
        <f t="shared" si="0"/>
        <v>771.58</v>
      </c>
      <c r="I26" s="60">
        <f>IF("generated"=1, "Path=CLM_1, Scaled Offset=771.58000000000004092726157978177071", 771.58)</f>
        <v>771.58</v>
      </c>
      <c r="J26" t="s">
        <v>97</v>
      </c>
      <c r="K26"/>
      <c r="L26"/>
      <c r="M26"/>
      <c r="N26"/>
      <c r="O26"/>
      <c r="P26"/>
      <c r="Q26"/>
      <c r="R26" s="31"/>
      <c r="S26"/>
      <c r="T26"/>
      <c r="U26"/>
      <c r="V26"/>
      <c r="W26"/>
      <c r="X26"/>
      <c r="Y26"/>
      <c r="Z26"/>
    </row>
    <row r="27" spans="1:26" s="26" customFormat="1" x14ac:dyDescent="0.25">
      <c r="A27" s="53" t="s">
        <v>26</v>
      </c>
      <c r="B27">
        <v>11020</v>
      </c>
      <c r="C27" t="s">
        <v>120</v>
      </c>
      <c r="D27" t="s">
        <v>47</v>
      </c>
      <c r="E27" t="s">
        <v>101</v>
      </c>
      <c r="F27"/>
      <c r="G27" s="37">
        <v>774.58</v>
      </c>
      <c r="H27" s="37">
        <f t="shared" si="0"/>
        <v>774.58</v>
      </c>
      <c r="I27" s="60">
        <f>IF("generated"=1, "Path=CLM_1, Scaled Offset=774.58000000000004092726157978177071", 774.58)</f>
        <v>774.58</v>
      </c>
      <c r="J27" t="s">
        <v>97</v>
      </c>
      <c r="K27"/>
      <c r="L27"/>
      <c r="M27"/>
      <c r="N27"/>
      <c r="O27"/>
      <c r="P27"/>
      <c r="Q27"/>
      <c r="R27" s="31"/>
      <c r="S27"/>
      <c r="T27"/>
      <c r="U27"/>
      <c r="V27"/>
      <c r="W27"/>
      <c r="X27"/>
      <c r="Y27"/>
      <c r="Z27"/>
    </row>
    <row r="28" spans="1:26" s="26" customFormat="1" x14ac:dyDescent="0.25">
      <c r="A28" s="53" t="s">
        <v>26</v>
      </c>
      <c r="B28">
        <v>11021</v>
      </c>
      <c r="C28" t="s">
        <v>121</v>
      </c>
      <c r="D28" t="s">
        <v>47</v>
      </c>
      <c r="E28" t="s">
        <v>101</v>
      </c>
      <c r="F28"/>
      <c r="G28" s="37">
        <v>794.5</v>
      </c>
      <c r="H28" s="37">
        <f t="shared" si="0"/>
        <v>794.5</v>
      </c>
      <c r="I28" s="60">
        <f>IF("generated"=1, "Path=CLM_1, Scaled Offset=794.5", 794.5)</f>
        <v>794.5</v>
      </c>
      <c r="J28" t="s">
        <v>97</v>
      </c>
      <c r="K28"/>
      <c r="L28"/>
      <c r="M28"/>
      <c r="N28"/>
      <c r="O28"/>
      <c r="P28"/>
      <c r="Q28"/>
      <c r="R28" s="31"/>
      <c r="S28"/>
      <c r="T28"/>
      <c r="U28"/>
      <c r="V28"/>
      <c r="W28"/>
      <c r="X28"/>
      <c r="Y28"/>
      <c r="Z28"/>
    </row>
    <row r="29" spans="1:26" s="26" customFormat="1" x14ac:dyDescent="0.25">
      <c r="A29" s="53" t="s">
        <v>26</v>
      </c>
      <c r="B29">
        <v>11022</v>
      </c>
      <c r="C29" t="s">
        <v>122</v>
      </c>
      <c r="D29" t="s">
        <v>47</v>
      </c>
      <c r="E29" t="s">
        <v>101</v>
      </c>
      <c r="F29"/>
      <c r="G29" s="37">
        <v>797.5</v>
      </c>
      <c r="H29" s="37">
        <f t="shared" si="0"/>
        <v>797.5</v>
      </c>
      <c r="I29" s="60">
        <f>IF("generated"=1, "Path=CLM_1, Scaled Offset=797.5", 797.5)</f>
        <v>797.5</v>
      </c>
      <c r="J29" t="s">
        <v>97</v>
      </c>
      <c r="K29"/>
      <c r="L29"/>
      <c r="M29"/>
      <c r="N29"/>
      <c r="O29"/>
      <c r="P29"/>
      <c r="Q29"/>
      <c r="R29" s="31"/>
      <c r="S29"/>
      <c r="T29"/>
      <c r="U29"/>
      <c r="V29"/>
      <c r="W29"/>
      <c r="X29"/>
      <c r="Y29"/>
      <c r="Z29"/>
    </row>
    <row r="30" spans="1:26" s="26" customFormat="1" x14ac:dyDescent="0.25">
      <c r="A30" s="53" t="s">
        <v>26</v>
      </c>
      <c r="B30">
        <v>11023</v>
      </c>
      <c r="C30" t="s">
        <v>123</v>
      </c>
      <c r="D30" t="s">
        <v>47</v>
      </c>
      <c r="E30" t="s">
        <v>101</v>
      </c>
      <c r="F30"/>
      <c r="G30" s="37">
        <v>849.92</v>
      </c>
      <c r="H30" s="37">
        <f t="shared" si="0"/>
        <v>849.92</v>
      </c>
      <c r="I30" s="60">
        <f>IF("generated"=1, "Path=CLM_1, Scaled Offset=849.91999999999995907273842021822929", 849.919999999999)</f>
        <v>849.91999999999905</v>
      </c>
      <c r="J30" t="s">
        <v>97</v>
      </c>
      <c r="K30"/>
      <c r="L30"/>
      <c r="M30"/>
      <c r="N30"/>
      <c r="O30"/>
      <c r="P30"/>
      <c r="Q30"/>
      <c r="R30" s="31"/>
      <c r="S30"/>
      <c r="T30"/>
      <c r="U30"/>
      <c r="V30"/>
      <c r="W30"/>
      <c r="X30"/>
      <c r="Y30"/>
      <c r="Z30"/>
    </row>
    <row r="31" spans="1:26" s="26" customFormat="1" x14ac:dyDescent="0.25">
      <c r="A31" s="53" t="s">
        <v>26</v>
      </c>
      <c r="B31">
        <v>11024</v>
      </c>
      <c r="C31" t="s">
        <v>124</v>
      </c>
      <c r="D31" t="s">
        <v>47</v>
      </c>
      <c r="E31" t="s">
        <v>101</v>
      </c>
      <c r="F31"/>
      <c r="G31" s="37">
        <v>929</v>
      </c>
      <c r="H31" s="37">
        <f t="shared" si="0"/>
        <v>929</v>
      </c>
      <c r="I31" s="60">
        <f>IF("generated"=1, "Path=CLM_1, Scaled Offset=929", 929)</f>
        <v>929</v>
      </c>
      <c r="J31" t="s">
        <v>97</v>
      </c>
      <c r="K31"/>
      <c r="L31"/>
      <c r="M31"/>
      <c r="N31"/>
      <c r="O31"/>
      <c r="P31"/>
      <c r="Q31"/>
      <c r="R31" s="31"/>
      <c r="S31"/>
      <c r="T31"/>
      <c r="U31"/>
      <c r="V31"/>
      <c r="W31"/>
      <c r="X31"/>
      <c r="Y31"/>
      <c r="Z31"/>
    </row>
    <row r="32" spans="1:26" s="26" customFormat="1" x14ac:dyDescent="0.25">
      <c r="A32" s="53" t="s">
        <v>26</v>
      </c>
      <c r="B32">
        <v>11025</v>
      </c>
      <c r="C32" t="s">
        <v>125</v>
      </c>
      <c r="D32" t="s">
        <v>47</v>
      </c>
      <c r="E32" t="s">
        <v>101</v>
      </c>
      <c r="F32"/>
      <c r="G32" s="37">
        <v>950</v>
      </c>
      <c r="H32" s="37">
        <f t="shared" si="0"/>
        <v>950</v>
      </c>
      <c r="I32" s="60">
        <f>IF("generated"=1, "Path=CLM_1, Scaled Offset=950", 950)</f>
        <v>950</v>
      </c>
      <c r="J32" t="s">
        <v>97</v>
      </c>
      <c r="K32"/>
      <c r="L32"/>
      <c r="M32"/>
      <c r="N32"/>
      <c r="O32"/>
      <c r="P32"/>
      <c r="Q32"/>
      <c r="R32" s="31"/>
      <c r="S32"/>
      <c r="T32"/>
      <c r="U32"/>
      <c r="V32"/>
      <c r="W32"/>
      <c r="X32"/>
      <c r="Y32"/>
      <c r="Z32"/>
    </row>
    <row r="33" spans="1:26" s="26" customFormat="1" x14ac:dyDescent="0.25">
      <c r="A33" s="53" t="s">
        <v>26</v>
      </c>
      <c r="B33">
        <v>11026</v>
      </c>
      <c r="C33" t="s">
        <v>126</v>
      </c>
      <c r="D33" t="s">
        <v>47</v>
      </c>
      <c r="E33" t="s">
        <v>101</v>
      </c>
      <c r="F33"/>
      <c r="G33" s="37">
        <v>1070</v>
      </c>
      <c r="H33" s="37">
        <f t="shared" si="0"/>
        <v>1070</v>
      </c>
      <c r="I33" s="60">
        <f>IF("generated"=1, "Path=CLM_1, Scaled Offset=1070", 1070)</f>
        <v>1070</v>
      </c>
      <c r="J33" t="s">
        <v>97</v>
      </c>
      <c r="K33"/>
      <c r="L33"/>
      <c r="M33"/>
      <c r="N33"/>
      <c r="O33"/>
      <c r="P33"/>
      <c r="Q33"/>
      <c r="R33" s="31"/>
      <c r="S33"/>
      <c r="T33"/>
      <c r="U33"/>
      <c r="V33"/>
      <c r="W33"/>
      <c r="X33"/>
      <c r="Y33"/>
      <c r="Z33"/>
    </row>
    <row r="34" spans="1:26" s="26" customFormat="1" x14ac:dyDescent="0.25">
      <c r="A34" s="53" t="s">
        <v>26</v>
      </c>
      <c r="B34">
        <v>11027</v>
      </c>
      <c r="C34" t="s">
        <v>127</v>
      </c>
      <c r="D34" t="s">
        <v>47</v>
      </c>
      <c r="E34" t="s">
        <v>101</v>
      </c>
      <c r="F34"/>
      <c r="G34" s="37">
        <v>1250</v>
      </c>
      <c r="H34" s="37">
        <f t="shared" si="0"/>
        <v>1250</v>
      </c>
      <c r="I34" s="60">
        <f>IF("generated"=1, "Path=CLM_1, Scaled Offset=1250", 1250)</f>
        <v>1250</v>
      </c>
      <c r="J34" t="s">
        <v>97</v>
      </c>
      <c r="K34"/>
      <c r="L34"/>
      <c r="M34"/>
      <c r="N34"/>
      <c r="O34"/>
      <c r="P34"/>
      <c r="Q34"/>
      <c r="R34" s="31"/>
      <c r="S34"/>
      <c r="T34"/>
      <c r="U34"/>
      <c r="V34"/>
      <c r="W34"/>
      <c r="X34"/>
      <c r="Y34"/>
      <c r="Z34"/>
    </row>
    <row r="35" spans="1:26" s="26" customFormat="1" x14ac:dyDescent="0.25">
      <c r="A35" s="53" t="s">
        <v>26</v>
      </c>
      <c r="B35">
        <v>11028</v>
      </c>
      <c r="C35" t="s">
        <v>128</v>
      </c>
      <c r="D35" t="s">
        <v>47</v>
      </c>
      <c r="E35" t="s">
        <v>101</v>
      </c>
      <c r="F35"/>
      <c r="G35" s="37">
        <v>1430</v>
      </c>
      <c r="H35" s="37">
        <f t="shared" si="0"/>
        <v>1430</v>
      </c>
      <c r="I35" s="60">
        <f>IF("generated"=1, "Path=CLM_1, Scaled Offset=1430", 1430)</f>
        <v>1430</v>
      </c>
      <c r="J35" t="s">
        <v>97</v>
      </c>
      <c r="K35"/>
      <c r="L35"/>
      <c r="M35"/>
      <c r="N35"/>
      <c r="O35"/>
      <c r="P35"/>
      <c r="Q35"/>
      <c r="R35" s="31"/>
      <c r="S35"/>
      <c r="T35"/>
      <c r="U35"/>
      <c r="V35"/>
      <c r="W35"/>
      <c r="X35"/>
      <c r="Y35"/>
      <c r="Z35"/>
    </row>
    <row r="36" spans="1:26" s="26" customFormat="1" x14ac:dyDescent="0.25">
      <c r="A36" s="53" t="s">
        <v>26</v>
      </c>
      <c r="B36">
        <v>11029</v>
      </c>
      <c r="C36" t="s">
        <v>129</v>
      </c>
      <c r="D36" t="s">
        <v>47</v>
      </c>
      <c r="E36" t="s">
        <v>101</v>
      </c>
      <c r="F36"/>
      <c r="G36" s="37">
        <v>1580</v>
      </c>
      <c r="H36" s="37">
        <f t="shared" si="0"/>
        <v>1580</v>
      </c>
      <c r="I36" s="60">
        <f>IF("generated"=1, "Path=CLM_1, Scaled Offset=1580", 1580)</f>
        <v>1580</v>
      </c>
      <c r="J36" t="s">
        <v>97</v>
      </c>
      <c r="K36"/>
      <c r="L36"/>
      <c r="M36"/>
      <c r="N36"/>
      <c r="O36"/>
      <c r="P36"/>
      <c r="Q36"/>
      <c r="R36" s="31"/>
      <c r="S36"/>
      <c r="T36"/>
      <c r="U36"/>
      <c r="V36"/>
      <c r="W36"/>
      <c r="X36"/>
      <c r="Y36"/>
      <c r="Z36"/>
    </row>
    <row r="37" spans="1:26" s="26" customFormat="1" x14ac:dyDescent="0.25">
      <c r="A37" s="53" t="s">
        <v>26</v>
      </c>
      <c r="B37">
        <v>11030</v>
      </c>
      <c r="C37" t="s">
        <v>130</v>
      </c>
      <c r="D37" t="s">
        <v>47</v>
      </c>
      <c r="E37" t="s">
        <v>101</v>
      </c>
      <c r="F37"/>
      <c r="G37" s="37">
        <v>1730</v>
      </c>
      <c r="H37" s="37">
        <f t="shared" si="0"/>
        <v>1730</v>
      </c>
      <c r="I37" s="60">
        <f>IF("generated"=1, "Path=CLM_1, Scaled Offset=1730", 1730)</f>
        <v>1730</v>
      </c>
      <c r="J37" t="s">
        <v>97</v>
      </c>
      <c r="K37"/>
      <c r="L37"/>
      <c r="M37"/>
      <c r="N37"/>
      <c r="O37"/>
      <c r="P37"/>
      <c r="Q37"/>
      <c r="R37" s="31"/>
      <c r="S37"/>
      <c r="T37"/>
      <c r="U37"/>
      <c r="V37"/>
      <c r="W37"/>
      <c r="X37"/>
      <c r="Y37"/>
      <c r="Z37"/>
    </row>
    <row r="38" spans="1:26" s="26" customFormat="1" x14ac:dyDescent="0.25">
      <c r="A38" s="53" t="s">
        <v>26</v>
      </c>
      <c r="B38">
        <v>11031</v>
      </c>
      <c r="C38" t="s">
        <v>131</v>
      </c>
      <c r="D38" t="s">
        <v>47</v>
      </c>
      <c r="E38" t="s">
        <v>101</v>
      </c>
      <c r="F38"/>
      <c r="G38" s="37">
        <v>1915</v>
      </c>
      <c r="H38" s="37">
        <f t="shared" si="0"/>
        <v>1915</v>
      </c>
      <c r="I38" s="60">
        <f>IF("generated"=1, "Path=CLM_1, Scaled Offset=1915", 1915)</f>
        <v>1915</v>
      </c>
      <c r="J38" t="s">
        <v>97</v>
      </c>
      <c r="K38"/>
      <c r="L38"/>
      <c r="M38"/>
      <c r="N38"/>
      <c r="O38"/>
      <c r="P38"/>
      <c r="Q38"/>
      <c r="R38" s="31"/>
      <c r="S38"/>
      <c r="T38"/>
      <c r="U38"/>
      <c r="V38"/>
      <c r="W38"/>
      <c r="X38"/>
      <c r="Y38"/>
      <c r="Z38"/>
    </row>
    <row r="39" spans="1:26" s="26" customFormat="1" x14ac:dyDescent="0.25">
      <c r="A39" s="53" t="s">
        <v>26</v>
      </c>
      <c r="B39">
        <v>11032</v>
      </c>
      <c r="C39" t="s">
        <v>132</v>
      </c>
      <c r="D39" t="s">
        <v>47</v>
      </c>
      <c r="E39" t="s">
        <v>101</v>
      </c>
      <c r="F39"/>
      <c r="G39" s="37">
        <v>2095</v>
      </c>
      <c r="H39" s="37">
        <f t="shared" si="0"/>
        <v>2095</v>
      </c>
      <c r="I39" s="60">
        <f>IF("generated"=1, "Path=CLM_1, Scaled Offset=2095", 2095)</f>
        <v>2095</v>
      </c>
      <c r="J39" t="s">
        <v>97</v>
      </c>
      <c r="K39"/>
      <c r="L39"/>
      <c r="M39"/>
      <c r="N39"/>
      <c r="O39"/>
      <c r="P39"/>
      <c r="Q39"/>
      <c r="R39" s="31"/>
      <c r="S39"/>
      <c r="T39"/>
      <c r="U39"/>
      <c r="V39"/>
      <c r="W39"/>
      <c r="X39"/>
      <c r="Y39"/>
      <c r="Z39"/>
    </row>
    <row r="40" spans="1:26" s="26" customFormat="1" x14ac:dyDescent="0.25">
      <c r="A40" s="53" t="s">
        <v>26</v>
      </c>
      <c r="B40">
        <v>11033</v>
      </c>
      <c r="C40" t="s">
        <v>133</v>
      </c>
      <c r="D40" t="s">
        <v>47</v>
      </c>
      <c r="E40" t="s">
        <v>101</v>
      </c>
      <c r="F40"/>
      <c r="G40" s="37">
        <v>2215</v>
      </c>
      <c r="H40" s="37">
        <f t="shared" si="0"/>
        <v>2215</v>
      </c>
      <c r="I40" s="60">
        <f>IF("generated"=1, "Path=CLM_1, Scaled Offset=2215", 2215)</f>
        <v>2215</v>
      </c>
      <c r="J40" t="s">
        <v>97</v>
      </c>
      <c r="K40"/>
      <c r="L40"/>
      <c r="M40"/>
      <c r="N40"/>
      <c r="O40"/>
      <c r="P40"/>
      <c r="Q40"/>
      <c r="R40" s="31"/>
      <c r="S40"/>
      <c r="T40"/>
      <c r="U40"/>
      <c r="V40"/>
      <c r="W40"/>
      <c r="X40"/>
      <c r="Y40"/>
      <c r="Z40"/>
    </row>
    <row r="41" spans="1:26" s="26" customFormat="1" x14ac:dyDescent="0.25">
      <c r="A41" s="53" t="s">
        <v>26</v>
      </c>
      <c r="B41">
        <v>11034</v>
      </c>
      <c r="C41" t="s">
        <v>134</v>
      </c>
      <c r="D41" t="s">
        <v>47</v>
      </c>
      <c r="E41" t="s">
        <v>101</v>
      </c>
      <c r="F41"/>
      <c r="G41" s="37">
        <v>2236</v>
      </c>
      <c r="H41" s="37">
        <f t="shared" si="0"/>
        <v>2236</v>
      </c>
      <c r="I41" s="60">
        <f>IF("generated"=1, "Path=CLM_1, Scaled Offset=2236", 2236)</f>
        <v>2236</v>
      </c>
      <c r="J41" t="s">
        <v>97</v>
      </c>
      <c r="K41"/>
      <c r="L41"/>
      <c r="M41"/>
      <c r="N41"/>
      <c r="O41"/>
      <c r="P41"/>
      <c r="Q41"/>
      <c r="R41" s="31"/>
      <c r="S41"/>
      <c r="T41"/>
      <c r="U41"/>
      <c r="V41"/>
      <c r="W41"/>
      <c r="X41"/>
      <c r="Y41"/>
      <c r="Z41"/>
    </row>
    <row r="42" spans="1:26" s="26" customFormat="1" x14ac:dyDescent="0.25">
      <c r="A42" s="53" t="s">
        <v>26</v>
      </c>
      <c r="B42">
        <v>11035</v>
      </c>
      <c r="C42" t="s">
        <v>135</v>
      </c>
      <c r="D42" t="s">
        <v>47</v>
      </c>
      <c r="E42" t="s">
        <v>101</v>
      </c>
      <c r="F42"/>
      <c r="G42" s="37">
        <v>2332.46</v>
      </c>
      <c r="H42" s="37">
        <f t="shared" si="0"/>
        <v>2332.46</v>
      </c>
      <c r="I42" s="60">
        <f>IF("generated"=1, "Path=CLM_1, Scaled Offset=2332.4600000000000363797880709171295", 2332.46)</f>
        <v>2332.46</v>
      </c>
      <c r="J42" t="s">
        <v>97</v>
      </c>
      <c r="K42"/>
      <c r="L42"/>
      <c r="M42"/>
      <c r="N42"/>
      <c r="O42"/>
      <c r="P42"/>
      <c r="Q42"/>
      <c r="R42" s="31"/>
      <c r="S42"/>
      <c r="T42"/>
      <c r="U42"/>
      <c r="V42"/>
      <c r="W42"/>
      <c r="X42"/>
      <c r="Y42"/>
      <c r="Z42"/>
    </row>
    <row r="43" spans="1:26" s="26" customFormat="1" x14ac:dyDescent="0.25">
      <c r="A43" s="53" t="s">
        <v>26</v>
      </c>
      <c r="B43">
        <v>11036</v>
      </c>
      <c r="C43" t="s">
        <v>136</v>
      </c>
      <c r="D43" t="s">
        <v>47</v>
      </c>
      <c r="E43" t="s">
        <v>101</v>
      </c>
      <c r="F43"/>
      <c r="G43" s="37">
        <v>2347.3200000000002</v>
      </c>
      <c r="H43" s="37">
        <f t="shared" si="0"/>
        <v>2347.3200000000002</v>
      </c>
      <c r="I43" s="60">
        <f>IF("generated"=1, "Path=CLM_1, Scaled Offset=2347.3200000000001637090463191270828", 2347.32)</f>
        <v>2347.3200000000002</v>
      </c>
      <c r="J43" t="s">
        <v>97</v>
      </c>
      <c r="K43"/>
      <c r="L43"/>
      <c r="M43"/>
      <c r="N43"/>
      <c r="O43"/>
      <c r="P43"/>
      <c r="Q43"/>
      <c r="R43" s="31"/>
      <c r="S43"/>
      <c r="T43"/>
      <c r="U43"/>
      <c r="V43"/>
      <c r="W43"/>
      <c r="X43"/>
      <c r="Y43"/>
      <c r="Z43"/>
    </row>
    <row r="44" spans="1:26" s="26" customFormat="1" x14ac:dyDescent="0.25">
      <c r="A44" s="53" t="s">
        <v>26</v>
      </c>
      <c r="B44">
        <v>11037</v>
      </c>
      <c r="C44" t="s">
        <v>137</v>
      </c>
      <c r="D44" t="s">
        <v>47</v>
      </c>
      <c r="E44" t="s">
        <v>101</v>
      </c>
      <c r="F44"/>
      <c r="G44" s="37">
        <v>2350.3200000000002</v>
      </c>
      <c r="H44" s="37">
        <f t="shared" si="0"/>
        <v>2350.3200000000002</v>
      </c>
      <c r="I44" s="60">
        <f>IF("generated"=1, "Path=CLM_1, Scaled Offset=2350.3200000000001637090463191270828", 2350.32)</f>
        <v>2350.3200000000002</v>
      </c>
      <c r="J44" t="s">
        <v>97</v>
      </c>
      <c r="K44"/>
      <c r="L44"/>
      <c r="M44"/>
      <c r="N44"/>
      <c r="O44"/>
      <c r="P44"/>
      <c r="Q44"/>
      <c r="R44" s="31"/>
      <c r="S44"/>
      <c r="T44"/>
      <c r="U44"/>
      <c r="V44"/>
      <c r="W44"/>
      <c r="X44"/>
      <c r="Y44"/>
      <c r="Z44"/>
    </row>
    <row r="45" spans="1:26" s="26" customFormat="1" x14ac:dyDescent="0.25">
      <c r="A45" s="53" t="s">
        <v>26</v>
      </c>
      <c r="B45">
        <v>11038</v>
      </c>
      <c r="C45" t="s">
        <v>138</v>
      </c>
      <c r="D45" t="s">
        <v>47</v>
      </c>
      <c r="E45" t="s">
        <v>101</v>
      </c>
      <c r="F45"/>
      <c r="G45" s="37">
        <v>2370.2399999999998</v>
      </c>
      <c r="H45" s="37">
        <f t="shared" si="0"/>
        <v>2370.2399999999998</v>
      </c>
      <c r="I45" s="60">
        <f>IF("generated"=1, "Path=CLM_1, Scaled Offset=2370.2399999999997817212715744972229", 2370.23999999999)</f>
        <v>2370.2399999999898</v>
      </c>
      <c r="J45" t="s">
        <v>97</v>
      </c>
      <c r="K45"/>
      <c r="L45"/>
      <c r="M45"/>
      <c r="N45"/>
      <c r="O45"/>
      <c r="P45"/>
      <c r="Q45"/>
      <c r="R45" s="31"/>
      <c r="S45"/>
      <c r="T45"/>
      <c r="U45"/>
      <c r="V45"/>
      <c r="W45"/>
      <c r="X45"/>
      <c r="Y45"/>
      <c r="Z45"/>
    </row>
    <row r="46" spans="1:26" s="26" customFormat="1" x14ac:dyDescent="0.25">
      <c r="A46" s="53" t="s">
        <v>26</v>
      </c>
      <c r="B46">
        <v>11039</v>
      </c>
      <c r="C46" t="s">
        <v>139</v>
      </c>
      <c r="D46" t="s">
        <v>47</v>
      </c>
      <c r="E46" t="s">
        <v>101</v>
      </c>
      <c r="F46"/>
      <c r="G46" s="37">
        <v>2373.2399999999998</v>
      </c>
      <c r="H46" s="37">
        <f t="shared" si="0"/>
        <v>2373.2399999999998</v>
      </c>
      <c r="I46" s="60">
        <f>IF("generated"=1, "Path=CLM_1, Scaled Offset=2373.2399999999997817212715744972229", 2373.23999999999)</f>
        <v>2373.2399999999898</v>
      </c>
      <c r="J46" t="s">
        <v>97</v>
      </c>
      <c r="K46"/>
      <c r="L46"/>
      <c r="M46"/>
      <c r="N46"/>
      <c r="O46"/>
      <c r="P46"/>
      <c r="Q46"/>
      <c r="R46" s="31"/>
      <c r="S46"/>
      <c r="T46"/>
      <c r="U46"/>
      <c r="V46"/>
      <c r="W46"/>
      <c r="X46"/>
      <c r="Y46"/>
      <c r="Z46"/>
    </row>
    <row r="47" spans="1:26" s="26" customFormat="1" x14ac:dyDescent="0.25">
      <c r="A47" s="53" t="s">
        <v>26</v>
      </c>
      <c r="B47">
        <v>11040</v>
      </c>
      <c r="C47" t="s">
        <v>140</v>
      </c>
      <c r="D47" t="s">
        <v>47</v>
      </c>
      <c r="E47" t="s">
        <v>101</v>
      </c>
      <c r="F47"/>
      <c r="G47" s="37">
        <v>2431.2600000000002</v>
      </c>
      <c r="H47" s="37">
        <f t="shared" si="0"/>
        <v>2431.2600000000002</v>
      </c>
      <c r="I47" s="60">
        <f>IF("generated"=1, "Path=CLM_1, Scaled Offset=2431.2600000000002182787284255027771", 2431.26)</f>
        <v>2431.2600000000002</v>
      </c>
      <c r="J47" t="s">
        <v>97</v>
      </c>
      <c r="K47"/>
      <c r="L47"/>
      <c r="M47"/>
      <c r="N47"/>
      <c r="O47"/>
      <c r="P47"/>
      <c r="Q47"/>
      <c r="R47" s="31"/>
      <c r="S47"/>
      <c r="T47"/>
      <c r="U47"/>
      <c r="V47"/>
      <c r="W47"/>
      <c r="X47"/>
      <c r="Y47"/>
      <c r="Z47"/>
    </row>
    <row r="48" spans="1:26" s="26" customFormat="1" x14ac:dyDescent="0.25">
      <c r="A48" s="53" t="s">
        <v>26</v>
      </c>
      <c r="B48">
        <v>11041</v>
      </c>
      <c r="C48" t="s">
        <v>141</v>
      </c>
      <c r="D48" t="s">
        <v>47</v>
      </c>
      <c r="E48" t="s">
        <v>101</v>
      </c>
      <c r="F48"/>
      <c r="G48" s="37">
        <v>2466.36</v>
      </c>
      <c r="H48" s="37">
        <f t="shared" si="0"/>
        <v>2466.36</v>
      </c>
      <c r="I48" s="60">
        <f>IF("generated"=1, "Path=CLM_1, Scaled Offset=2466.3600000000001273292582482099533", 2466.36)</f>
        <v>2466.36</v>
      </c>
      <c r="J48" t="s">
        <v>97</v>
      </c>
      <c r="K48"/>
      <c r="L48"/>
      <c r="M48"/>
      <c r="N48"/>
      <c r="O48"/>
      <c r="P48"/>
      <c r="Q48"/>
      <c r="R48" s="31"/>
      <c r="S48"/>
      <c r="T48"/>
      <c r="U48"/>
      <c r="V48"/>
      <c r="W48"/>
      <c r="X48"/>
      <c r="Y48"/>
      <c r="Z48"/>
    </row>
    <row r="49" spans="1:26" s="26" customFormat="1" x14ac:dyDescent="0.25">
      <c r="A49" s="53" t="s">
        <v>26</v>
      </c>
      <c r="B49">
        <v>11042</v>
      </c>
      <c r="C49" t="s">
        <v>142</v>
      </c>
      <c r="D49" t="s">
        <v>47</v>
      </c>
      <c r="E49" t="s">
        <v>101</v>
      </c>
      <c r="F49"/>
      <c r="G49" s="37">
        <v>2469.36</v>
      </c>
      <c r="H49" s="37">
        <f t="shared" si="0"/>
        <v>2469.36</v>
      </c>
      <c r="I49" s="60">
        <f>IF("generated"=1, "Path=CLM_1, Scaled Offset=2469.3600000000001273292582482099533", 2469.36)</f>
        <v>2469.36</v>
      </c>
      <c r="J49" t="s">
        <v>97</v>
      </c>
      <c r="K49"/>
      <c r="L49"/>
      <c r="M49"/>
      <c r="N49"/>
      <c r="O49"/>
      <c r="P49"/>
      <c r="Q49"/>
      <c r="R49" s="31"/>
      <c r="S49"/>
      <c r="T49"/>
      <c r="U49"/>
      <c r="V49"/>
      <c r="W49"/>
      <c r="X49"/>
      <c r="Y49"/>
      <c r="Z49"/>
    </row>
    <row r="50" spans="1:26" s="26" customFormat="1" x14ac:dyDescent="0.25">
      <c r="A50" s="53" t="s">
        <v>26</v>
      </c>
      <c r="B50">
        <v>11043</v>
      </c>
      <c r="C50" t="s">
        <v>143</v>
      </c>
      <c r="D50" t="s">
        <v>47</v>
      </c>
      <c r="E50" t="s">
        <v>101</v>
      </c>
      <c r="F50"/>
      <c r="G50" s="37">
        <v>2489.2800000000002</v>
      </c>
      <c r="H50" s="37">
        <f t="shared" si="0"/>
        <v>2489.2800000000002</v>
      </c>
      <c r="I50" s="60">
        <f>IF("generated"=1, "Path=CLM_1, Scaled Offset=2489.2800000000002000888343900442123", 2489.28)</f>
        <v>2489.2800000000002</v>
      </c>
      <c r="J50" t="s">
        <v>97</v>
      </c>
      <c r="K50"/>
      <c r="L50"/>
      <c r="M50"/>
      <c r="N50"/>
      <c r="O50"/>
      <c r="P50"/>
      <c r="Q50"/>
      <c r="R50" s="31"/>
      <c r="S50"/>
      <c r="T50"/>
      <c r="U50"/>
      <c r="V50"/>
      <c r="W50"/>
      <c r="X50"/>
      <c r="Y50"/>
      <c r="Z50"/>
    </row>
    <row r="51" spans="1:26" s="26" customFormat="1" x14ac:dyDescent="0.25">
      <c r="A51" s="53" t="s">
        <v>26</v>
      </c>
      <c r="B51">
        <v>11044</v>
      </c>
      <c r="C51" t="s">
        <v>144</v>
      </c>
      <c r="D51" t="s">
        <v>47</v>
      </c>
      <c r="E51" t="s">
        <v>101</v>
      </c>
      <c r="F51"/>
      <c r="G51" s="37">
        <v>2492.2800000000002</v>
      </c>
      <c r="H51" s="37">
        <f t="shared" si="0"/>
        <v>2492.2800000000002</v>
      </c>
      <c r="I51" s="60">
        <f>IF("generated"=1, "Path=CLM_1, Scaled Offset=2492.2800000000002000888343900442123", 2492.28)</f>
        <v>2492.2800000000002</v>
      </c>
      <c r="J51" t="s">
        <v>97</v>
      </c>
      <c r="K51"/>
      <c r="L51"/>
      <c r="M51"/>
      <c r="N51"/>
      <c r="O51"/>
      <c r="P51"/>
      <c r="Q51"/>
      <c r="R51" s="31"/>
      <c r="S51"/>
      <c r="T51"/>
      <c r="U51"/>
      <c r="V51"/>
      <c r="W51"/>
      <c r="X51"/>
      <c r="Y51"/>
      <c r="Z51"/>
    </row>
    <row r="52" spans="1:26" s="26" customFormat="1" x14ac:dyDescent="0.25">
      <c r="A52" s="53" t="s">
        <v>26</v>
      </c>
      <c r="B52">
        <v>11045</v>
      </c>
      <c r="C52" t="s">
        <v>145</v>
      </c>
      <c r="D52" t="s">
        <v>47</v>
      </c>
      <c r="E52" t="s">
        <v>101</v>
      </c>
      <c r="F52"/>
      <c r="G52" s="37">
        <v>2544.6999999999998</v>
      </c>
      <c r="H52" s="37">
        <f t="shared" si="0"/>
        <v>2544.6999999999998</v>
      </c>
      <c r="I52" s="60">
        <f>IF("generated"=1, "Path=CLM_1, Scaled Offset=2544.6999999999998181010596454143524", 2544.69999999999)</f>
        <v>2544.6999999999898</v>
      </c>
      <c r="J52" t="s">
        <v>97</v>
      </c>
      <c r="K52"/>
      <c r="L52"/>
      <c r="M52"/>
      <c r="N52"/>
      <c r="O52"/>
      <c r="P52"/>
      <c r="Q52"/>
      <c r="R52" s="31"/>
      <c r="S52"/>
      <c r="T52"/>
      <c r="U52"/>
      <c r="V52"/>
      <c r="W52"/>
      <c r="X52"/>
      <c r="Y52"/>
      <c r="Z52"/>
    </row>
    <row r="53" spans="1:26" s="26" customFormat="1" x14ac:dyDescent="0.25">
      <c r="A53" s="53" t="s">
        <v>26</v>
      </c>
      <c r="B53">
        <v>11046</v>
      </c>
      <c r="C53" t="s">
        <v>146</v>
      </c>
      <c r="D53" t="s">
        <v>47</v>
      </c>
      <c r="E53" t="s">
        <v>101</v>
      </c>
      <c r="F53"/>
      <c r="G53" s="37">
        <v>2625</v>
      </c>
      <c r="H53" s="37">
        <f t="shared" si="0"/>
        <v>2625</v>
      </c>
      <c r="I53" s="60">
        <f>IF("generated"=1, "Path=CLM_1, Scaled Offset=2625", 2625)</f>
        <v>2625</v>
      </c>
      <c r="J53" t="s">
        <v>97</v>
      </c>
      <c r="K53"/>
      <c r="L53"/>
      <c r="M53"/>
      <c r="N53"/>
      <c r="O53"/>
      <c r="P53"/>
      <c r="Q53"/>
      <c r="R53" s="31"/>
      <c r="S53"/>
      <c r="T53"/>
      <c r="U53"/>
      <c r="V53"/>
      <c r="W53"/>
      <c r="X53"/>
      <c r="Y53"/>
      <c r="Z53"/>
    </row>
    <row r="54" spans="1:26" s="26" customFormat="1" x14ac:dyDescent="0.25">
      <c r="A54" s="53" t="s">
        <v>26</v>
      </c>
      <c r="B54">
        <v>11047</v>
      </c>
      <c r="C54" t="s">
        <v>147</v>
      </c>
      <c r="D54" t="s">
        <v>47</v>
      </c>
      <c r="E54" t="s">
        <v>101</v>
      </c>
      <c r="F54"/>
      <c r="G54" s="37">
        <v>2646</v>
      </c>
      <c r="H54" s="37">
        <f t="shared" si="0"/>
        <v>2646</v>
      </c>
      <c r="I54" s="60">
        <f>IF("generated"=1, "Path=CLM_1, Scaled Offset=2646", 2646)</f>
        <v>2646</v>
      </c>
      <c r="J54" t="s">
        <v>97</v>
      </c>
      <c r="K54"/>
      <c r="L54"/>
      <c r="M54"/>
      <c r="N54"/>
      <c r="O54"/>
      <c r="P54"/>
      <c r="Q54"/>
      <c r="R54" s="31"/>
      <c r="S54"/>
      <c r="T54"/>
      <c r="U54"/>
      <c r="V54"/>
      <c r="W54"/>
      <c r="X54"/>
      <c r="Y54"/>
      <c r="Z54"/>
    </row>
    <row r="55" spans="1:26" s="26" customFormat="1" x14ac:dyDescent="0.25">
      <c r="A55" s="53" t="s">
        <v>26</v>
      </c>
      <c r="B55">
        <v>11048</v>
      </c>
      <c r="C55" t="s">
        <v>148</v>
      </c>
      <c r="D55" t="s">
        <v>47</v>
      </c>
      <c r="E55" t="s">
        <v>101</v>
      </c>
      <c r="F55"/>
      <c r="G55" s="37">
        <v>2826</v>
      </c>
      <c r="H55" s="37">
        <f t="shared" si="0"/>
        <v>2826</v>
      </c>
      <c r="I55" s="60">
        <f>IF("generated"=1, "Path=CLM_1, Scaled Offset=2826", 2826)</f>
        <v>2826</v>
      </c>
      <c r="J55" t="s">
        <v>97</v>
      </c>
      <c r="K55"/>
      <c r="L55"/>
      <c r="M55"/>
      <c r="N55"/>
      <c r="O55"/>
      <c r="P55"/>
      <c r="Q55"/>
      <c r="R55" s="31"/>
      <c r="S55"/>
      <c r="T55"/>
      <c r="U55"/>
      <c r="V55"/>
      <c r="W55"/>
      <c r="X55"/>
      <c r="Y55"/>
      <c r="Z55"/>
    </row>
    <row r="56" spans="1:26" s="26" customFormat="1" x14ac:dyDescent="0.25">
      <c r="A56" s="53" t="s">
        <v>26</v>
      </c>
      <c r="B56">
        <v>11049</v>
      </c>
      <c r="C56" t="s">
        <v>149</v>
      </c>
      <c r="D56" t="s">
        <v>47</v>
      </c>
      <c r="E56" t="s">
        <v>101</v>
      </c>
      <c r="F56"/>
      <c r="G56" s="37">
        <v>3006</v>
      </c>
      <c r="H56" s="37">
        <f t="shared" si="0"/>
        <v>3006</v>
      </c>
      <c r="I56" s="60">
        <f>IF("generated"=1, "Path=CLM_1, Scaled Offset=3006", 3006)</f>
        <v>3006</v>
      </c>
      <c r="J56" t="s">
        <v>97</v>
      </c>
      <c r="K56"/>
      <c r="L56"/>
      <c r="M56"/>
      <c r="N56"/>
      <c r="O56"/>
      <c r="P56"/>
      <c r="Q56"/>
      <c r="R56" s="31"/>
      <c r="S56"/>
      <c r="T56"/>
      <c r="U56"/>
      <c r="V56"/>
      <c r="W56"/>
      <c r="X56"/>
      <c r="Y56"/>
      <c r="Z56"/>
    </row>
    <row r="57" spans="1:26" s="26" customFormat="1" x14ac:dyDescent="0.25">
      <c r="A57" s="53" t="s">
        <v>26</v>
      </c>
      <c r="B57">
        <v>11050</v>
      </c>
      <c r="C57" t="s">
        <v>150</v>
      </c>
      <c r="D57" t="s">
        <v>47</v>
      </c>
      <c r="E57" t="s">
        <v>101</v>
      </c>
      <c r="F57"/>
      <c r="G57" s="37">
        <v>3062</v>
      </c>
      <c r="H57" s="37">
        <f t="shared" si="0"/>
        <v>3062</v>
      </c>
      <c r="I57" s="60">
        <f>IF("generated"=1, "Path=CLM_1, Scaled Offset=3062", 3062)</f>
        <v>3062</v>
      </c>
      <c r="J57" t="s">
        <v>97</v>
      </c>
      <c r="K57"/>
      <c r="L57"/>
      <c r="M57"/>
      <c r="N57"/>
      <c r="O57"/>
      <c r="P57"/>
      <c r="Q57"/>
      <c r="R57" s="31"/>
      <c r="S57"/>
      <c r="T57"/>
      <c r="U57"/>
      <c r="V57"/>
      <c r="W57"/>
      <c r="X57"/>
      <c r="Y57"/>
      <c r="Z57"/>
    </row>
    <row r="58" spans="1:26" s="26" customFormat="1" x14ac:dyDescent="0.25">
      <c r="A58" s="53" t="s">
        <v>26</v>
      </c>
      <c r="B58">
        <v>11051</v>
      </c>
      <c r="C58" t="s">
        <v>151</v>
      </c>
      <c r="D58" t="s">
        <v>47</v>
      </c>
      <c r="E58" t="s">
        <v>101</v>
      </c>
      <c r="F58"/>
      <c r="G58" s="37">
        <v>3182</v>
      </c>
      <c r="H58" s="37">
        <f t="shared" si="0"/>
        <v>3182</v>
      </c>
      <c r="I58" s="60">
        <f>IF("generated"=1, "Path=CLM_1, Scaled Offset=3182", 3182)</f>
        <v>3182</v>
      </c>
      <c r="J58" t="s">
        <v>97</v>
      </c>
      <c r="K58"/>
      <c r="L58"/>
      <c r="M58"/>
      <c r="N58"/>
      <c r="O58"/>
      <c r="P58"/>
      <c r="Q58"/>
      <c r="R58" s="31"/>
      <c r="S58"/>
      <c r="T58"/>
      <c r="U58"/>
      <c r="V58"/>
      <c r="W58"/>
      <c r="X58"/>
      <c r="Y58"/>
      <c r="Z58"/>
    </row>
    <row r="59" spans="1:26" s="26" customFormat="1" x14ac:dyDescent="0.25">
      <c r="A59" s="53" t="s">
        <v>26</v>
      </c>
      <c r="B59">
        <v>11052</v>
      </c>
      <c r="C59" t="s">
        <v>152</v>
      </c>
      <c r="D59" t="s">
        <v>47</v>
      </c>
      <c r="E59" t="s">
        <v>101</v>
      </c>
      <c r="F59"/>
      <c r="G59" s="37">
        <v>3203</v>
      </c>
      <c r="H59" s="37">
        <f t="shared" si="0"/>
        <v>3203</v>
      </c>
      <c r="I59" s="60">
        <f>IF("generated"=1, "Path=CLM_1, Scaled Offset=3203", 3203)</f>
        <v>3203</v>
      </c>
      <c r="J59" t="s">
        <v>97</v>
      </c>
      <c r="K59"/>
      <c r="L59"/>
      <c r="M59"/>
      <c r="N59"/>
      <c r="O59"/>
      <c r="P59"/>
      <c r="Q59"/>
      <c r="R59" s="31"/>
      <c r="S59"/>
      <c r="T59"/>
      <c r="U59"/>
      <c r="V59"/>
      <c r="W59"/>
      <c r="X59"/>
      <c r="Y59"/>
      <c r="Z59"/>
    </row>
    <row r="60" spans="1:26" s="26" customFormat="1" x14ac:dyDescent="0.25">
      <c r="A60" s="53" t="s">
        <v>26</v>
      </c>
      <c r="B60">
        <v>11053</v>
      </c>
      <c r="C60" t="s">
        <v>153</v>
      </c>
      <c r="D60" t="s">
        <v>47</v>
      </c>
      <c r="E60" t="s">
        <v>101</v>
      </c>
      <c r="F60"/>
      <c r="G60" s="37">
        <v>3299.22</v>
      </c>
      <c r="H60" s="37">
        <f t="shared" si="0"/>
        <v>3299.22</v>
      </c>
      <c r="I60" s="60">
        <f>IF("generated"=1, "Path=CLM_1, Scaled Offset=3299.2199999999997999111656099557877", 3299.21999999999)</f>
        <v>3299.2199999999898</v>
      </c>
      <c r="J60" t="s">
        <v>97</v>
      </c>
      <c r="K60"/>
      <c r="L60"/>
      <c r="M60"/>
      <c r="N60"/>
      <c r="O60"/>
      <c r="P60"/>
      <c r="Q60"/>
      <c r="R60" s="31"/>
      <c r="S60"/>
      <c r="T60"/>
      <c r="U60"/>
      <c r="V60"/>
      <c r="W60"/>
      <c r="X60"/>
      <c r="Y60"/>
      <c r="Z60"/>
    </row>
    <row r="61" spans="1:26" s="26" customFormat="1" x14ac:dyDescent="0.25">
      <c r="A61" s="53" t="s">
        <v>26</v>
      </c>
      <c r="B61">
        <v>11054</v>
      </c>
      <c r="C61" t="s">
        <v>154</v>
      </c>
      <c r="D61" t="s">
        <v>47</v>
      </c>
      <c r="E61" t="s">
        <v>101</v>
      </c>
      <c r="F61"/>
      <c r="G61" s="37">
        <v>3314.08</v>
      </c>
      <c r="H61" s="37">
        <f t="shared" si="0"/>
        <v>3314.08</v>
      </c>
      <c r="I61" s="60">
        <f>IF("generated"=1, "Path=CLM_1, Scaled Offset=3314.079999999999927240423858165741", 3314.07999999999)</f>
        <v>3314.0799999999899</v>
      </c>
      <c r="J61" t="s">
        <v>97</v>
      </c>
      <c r="K61"/>
      <c r="L61"/>
      <c r="M61"/>
      <c r="N61"/>
      <c r="O61"/>
      <c r="P61"/>
      <c r="Q61"/>
      <c r="R61" s="31"/>
      <c r="S61"/>
      <c r="T61"/>
      <c r="U61"/>
      <c r="V61"/>
      <c r="W61"/>
      <c r="X61"/>
      <c r="Y61"/>
      <c r="Z61"/>
    </row>
    <row r="62" spans="1:26" s="26" customFormat="1" x14ac:dyDescent="0.25">
      <c r="A62" s="53" t="s">
        <v>26</v>
      </c>
      <c r="B62">
        <v>11055</v>
      </c>
      <c r="C62" t="s">
        <v>155</v>
      </c>
      <c r="D62" t="s">
        <v>47</v>
      </c>
      <c r="E62" t="s">
        <v>101</v>
      </c>
      <c r="F62"/>
      <c r="G62" s="37">
        <v>3317.08</v>
      </c>
      <c r="H62" s="37">
        <f t="shared" si="0"/>
        <v>3317.08</v>
      </c>
      <c r="I62" s="60">
        <f>IF("generated"=1, "Path=CLM_1, Scaled Offset=3317.079999999999927240423858165741", 3317.07999999999)</f>
        <v>3317.0799999999899</v>
      </c>
      <c r="J62" t="s">
        <v>97</v>
      </c>
      <c r="K62"/>
      <c r="L62"/>
      <c r="M62"/>
      <c r="N62"/>
      <c r="O62"/>
      <c r="P62"/>
      <c r="Q62"/>
      <c r="R62" s="31"/>
      <c r="S62"/>
      <c r="T62"/>
      <c r="U62"/>
      <c r="V62"/>
      <c r="W62"/>
      <c r="X62"/>
      <c r="Y62"/>
      <c r="Z62"/>
    </row>
    <row r="63" spans="1:26" s="26" customFormat="1" x14ac:dyDescent="0.25">
      <c r="A63" s="53" t="s">
        <v>26</v>
      </c>
      <c r="B63">
        <v>11056</v>
      </c>
      <c r="C63" t="s">
        <v>156</v>
      </c>
      <c r="D63" t="s">
        <v>47</v>
      </c>
      <c r="E63" t="s">
        <v>101</v>
      </c>
      <c r="F63"/>
      <c r="G63" s="37">
        <v>3337</v>
      </c>
      <c r="H63" s="37">
        <f t="shared" si="0"/>
        <v>3337</v>
      </c>
      <c r="I63" s="60">
        <f>IF("generated"=1, "Path=CLM_1, Scaled Offset=3337", 3337)</f>
        <v>3337</v>
      </c>
      <c r="J63" t="s">
        <v>97</v>
      </c>
      <c r="K63"/>
      <c r="L63"/>
      <c r="M63"/>
      <c r="N63"/>
      <c r="O63"/>
      <c r="P63"/>
      <c r="Q63"/>
      <c r="R63" s="31"/>
      <c r="S63"/>
      <c r="T63"/>
      <c r="U63"/>
      <c r="V63"/>
      <c r="W63"/>
      <c r="X63"/>
      <c r="Y63"/>
      <c r="Z63"/>
    </row>
    <row r="64" spans="1:26" s="26" customFormat="1" x14ac:dyDescent="0.25">
      <c r="A64" s="53" t="s">
        <v>26</v>
      </c>
      <c r="B64">
        <v>11057</v>
      </c>
      <c r="C64" t="s">
        <v>157</v>
      </c>
      <c r="D64" t="s">
        <v>47</v>
      </c>
      <c r="E64" t="s">
        <v>101</v>
      </c>
      <c r="F64"/>
      <c r="G64" s="37">
        <v>3340</v>
      </c>
      <c r="H64" s="37">
        <f t="shared" si="0"/>
        <v>3340</v>
      </c>
      <c r="I64" s="60">
        <f>IF("generated"=1, "Path=CLM_1, Scaled Offset=3340", 3340)</f>
        <v>3340</v>
      </c>
      <c r="J64" t="s">
        <v>97</v>
      </c>
      <c r="K64"/>
      <c r="L64"/>
      <c r="M64"/>
      <c r="N64"/>
      <c r="O64"/>
      <c r="P64"/>
      <c r="Q64"/>
      <c r="R64" s="31"/>
      <c r="S64"/>
      <c r="T64"/>
      <c r="U64"/>
      <c r="V64"/>
      <c r="W64"/>
      <c r="X64"/>
      <c r="Y64"/>
      <c r="Z64"/>
    </row>
    <row r="65" spans="1:26" s="26" customFormat="1" x14ac:dyDescent="0.25">
      <c r="A65" s="53" t="s">
        <v>26</v>
      </c>
      <c r="B65">
        <v>11058</v>
      </c>
      <c r="C65" t="s">
        <v>158</v>
      </c>
      <c r="D65" t="s">
        <v>47</v>
      </c>
      <c r="E65" t="s">
        <v>101</v>
      </c>
      <c r="F65"/>
      <c r="G65" s="37">
        <v>3398.02</v>
      </c>
      <c r="H65" s="37">
        <f t="shared" si="0"/>
        <v>3398.02</v>
      </c>
      <c r="I65" s="60">
        <f>IF("generated"=1, "Path=CLM_1, Scaled Offset=3398.0199999999999818101059645414352", 3398.01999999999)</f>
        <v>3398.01999999999</v>
      </c>
      <c r="J65" t="s">
        <v>97</v>
      </c>
      <c r="K65"/>
      <c r="L65"/>
      <c r="M65"/>
      <c r="N65"/>
      <c r="O65"/>
      <c r="P65"/>
      <c r="Q65"/>
      <c r="R65" s="31"/>
      <c r="S65"/>
      <c r="T65"/>
      <c r="U65"/>
      <c r="V65"/>
      <c r="W65"/>
      <c r="X65"/>
      <c r="Y65"/>
      <c r="Z65"/>
    </row>
    <row r="66" spans="1:26" s="26" customFormat="1" x14ac:dyDescent="0.25">
      <c r="A66" s="53" t="s">
        <v>26</v>
      </c>
      <c r="B66">
        <v>11059</v>
      </c>
      <c r="C66" t="s">
        <v>159</v>
      </c>
      <c r="D66" t="s">
        <v>47</v>
      </c>
      <c r="E66" t="s">
        <v>101</v>
      </c>
      <c r="F66"/>
      <c r="G66" s="37">
        <v>3433.12</v>
      </c>
      <c r="H66" s="37">
        <f t="shared" si="0"/>
        <v>3433.12</v>
      </c>
      <c r="I66" s="60">
        <f>IF("generated"=1, "Path=CLM_1, Scaled Offset=3433.1199999999998908606357872486115", 3433.11999999999)</f>
        <v>3433.1199999999899</v>
      </c>
      <c r="J66" t="s">
        <v>97</v>
      </c>
      <c r="K66"/>
      <c r="L66"/>
      <c r="M66"/>
      <c r="N66"/>
      <c r="O66"/>
      <c r="P66"/>
      <c r="Q66"/>
      <c r="R66" s="31"/>
      <c r="S66"/>
      <c r="T66"/>
      <c r="U66"/>
      <c r="V66"/>
      <c r="W66"/>
      <c r="X66"/>
      <c r="Y66"/>
      <c r="Z66"/>
    </row>
    <row r="67" spans="1:26" s="26" customFormat="1" x14ac:dyDescent="0.25">
      <c r="A67" s="53" t="s">
        <v>26</v>
      </c>
      <c r="B67">
        <v>11060</v>
      </c>
      <c r="C67" t="s">
        <v>160</v>
      </c>
      <c r="D67" t="s">
        <v>47</v>
      </c>
      <c r="E67" t="s">
        <v>101</v>
      </c>
      <c r="F67"/>
      <c r="G67" s="37">
        <v>3436.12</v>
      </c>
      <c r="H67" s="37">
        <f t="shared" si="0"/>
        <v>3436.12</v>
      </c>
      <c r="I67" s="60">
        <f>IF("generated"=1, "Path=CLM_1, Scaled Offset=3436.1199999999998908606357872486115", 3436.11999999999)</f>
        <v>3436.1199999999899</v>
      </c>
      <c r="J67" t="s">
        <v>97</v>
      </c>
      <c r="K67"/>
      <c r="L67"/>
      <c r="M67"/>
      <c r="N67"/>
      <c r="O67"/>
      <c r="P67"/>
      <c r="Q67"/>
      <c r="R67" s="31"/>
      <c r="S67"/>
      <c r="T67"/>
      <c r="U67"/>
      <c r="V67"/>
      <c r="W67"/>
      <c r="X67"/>
      <c r="Y67"/>
      <c r="Z67"/>
    </row>
    <row r="68" spans="1:26" s="26" customFormat="1" x14ac:dyDescent="0.25">
      <c r="A68" s="53" t="s">
        <v>26</v>
      </c>
      <c r="B68">
        <v>11061</v>
      </c>
      <c r="C68" t="s">
        <v>161</v>
      </c>
      <c r="D68" t="s">
        <v>47</v>
      </c>
      <c r="E68" t="s">
        <v>101</v>
      </c>
      <c r="F68"/>
      <c r="G68" s="37">
        <v>3456.04</v>
      </c>
      <c r="H68" s="37">
        <f t="shared" si="0"/>
        <v>3456.04</v>
      </c>
      <c r="I68" s="60">
        <f>IF("generated"=1, "Path=CLM_1, Scaled Offset=3456.0399999999999636202119290828705", 3456.03999999999)</f>
        <v>3456.03999999999</v>
      </c>
      <c r="J68" t="s">
        <v>97</v>
      </c>
      <c r="K68"/>
      <c r="L68"/>
      <c r="M68"/>
      <c r="N68"/>
      <c r="O68"/>
      <c r="P68"/>
      <c r="Q68"/>
      <c r="R68" s="31"/>
      <c r="S68"/>
      <c r="T68"/>
      <c r="U68"/>
      <c r="V68"/>
      <c r="W68"/>
      <c r="X68"/>
      <c r="Y68"/>
      <c r="Z68"/>
    </row>
    <row r="69" spans="1:26" s="26" customFormat="1" x14ac:dyDescent="0.25">
      <c r="A69" s="53" t="s">
        <v>26</v>
      </c>
      <c r="B69">
        <v>11062</v>
      </c>
      <c r="C69" t="s">
        <v>162</v>
      </c>
      <c r="D69" t="s">
        <v>47</v>
      </c>
      <c r="E69" t="s">
        <v>101</v>
      </c>
      <c r="F69"/>
      <c r="G69" s="37">
        <v>3459.04</v>
      </c>
      <c r="H69" s="37">
        <f t="shared" si="0"/>
        <v>3459.04</v>
      </c>
      <c r="I69" s="60">
        <f>IF("generated"=1, "Path=CLM_1, Scaled Offset=3459.0399999999999636202119290828705", 3459.03999999999)</f>
        <v>3459.03999999999</v>
      </c>
      <c r="J69" t="s">
        <v>97</v>
      </c>
      <c r="K69"/>
      <c r="L69"/>
      <c r="M69"/>
      <c r="N69"/>
      <c r="O69"/>
      <c r="P69"/>
      <c r="Q69"/>
      <c r="R69" s="31"/>
      <c r="S69"/>
      <c r="T69"/>
      <c r="U69"/>
      <c r="V69"/>
      <c r="W69"/>
      <c r="X69"/>
      <c r="Y69"/>
      <c r="Z69"/>
    </row>
    <row r="70" spans="1:26" s="26" customFormat="1" x14ac:dyDescent="0.25">
      <c r="A70" s="53" t="s">
        <v>26</v>
      </c>
      <c r="B70">
        <v>11063</v>
      </c>
      <c r="C70" t="s">
        <v>163</v>
      </c>
      <c r="D70" t="s">
        <v>47</v>
      </c>
      <c r="E70" t="s">
        <v>101</v>
      </c>
      <c r="F70"/>
      <c r="G70" s="37">
        <v>3511.46</v>
      </c>
      <c r="H70" s="37">
        <f t="shared" si="0"/>
        <v>3511.46</v>
      </c>
      <c r="I70" s="60">
        <f>IF("generated"=1, "Path=CLM_1, Scaled Offset=3511.4600000000000363797880709171295", 3511.46)</f>
        <v>3511.46</v>
      </c>
      <c r="J70" t="s">
        <v>97</v>
      </c>
      <c r="K70"/>
      <c r="L70"/>
      <c r="M70"/>
      <c r="N70"/>
      <c r="O70"/>
      <c r="P70"/>
      <c r="Q70"/>
      <c r="R70" s="31"/>
      <c r="S70"/>
      <c r="T70"/>
      <c r="U70"/>
      <c r="V70"/>
      <c r="W70"/>
      <c r="X70"/>
      <c r="Y70"/>
      <c r="Z70"/>
    </row>
    <row r="71" spans="1:26" s="26" customFormat="1" x14ac:dyDescent="0.25">
      <c r="A71" s="53" t="s">
        <v>26</v>
      </c>
      <c r="B71">
        <v>11064</v>
      </c>
      <c r="C71" t="s">
        <v>164</v>
      </c>
      <c r="D71" t="s">
        <v>47</v>
      </c>
      <c r="E71" t="s">
        <v>101</v>
      </c>
      <c r="F71"/>
      <c r="G71" s="37">
        <v>3593</v>
      </c>
      <c r="H71" s="37">
        <f t="shared" si="0"/>
        <v>3593</v>
      </c>
      <c r="I71" s="60">
        <f>IF("generated"=1, "Path=CLM_1, Scaled Offset=3593", 3593)</f>
        <v>3593</v>
      </c>
      <c r="J71" t="s">
        <v>97</v>
      </c>
      <c r="K71"/>
      <c r="L71"/>
      <c r="M71"/>
      <c r="N71"/>
      <c r="O71"/>
      <c r="P71"/>
      <c r="Q71"/>
      <c r="R71" s="31"/>
      <c r="S71"/>
      <c r="T71"/>
      <c r="U71"/>
      <c r="V71"/>
      <c r="W71"/>
      <c r="X71"/>
      <c r="Y71"/>
      <c r="Z71"/>
    </row>
    <row r="72" spans="1:26" s="26" customFormat="1" x14ac:dyDescent="0.25">
      <c r="A72" s="53" t="s">
        <v>26</v>
      </c>
      <c r="B72">
        <v>11065</v>
      </c>
      <c r="C72" t="s">
        <v>165</v>
      </c>
      <c r="D72" t="s">
        <v>47</v>
      </c>
      <c r="E72" t="s">
        <v>101</v>
      </c>
      <c r="F72"/>
      <c r="G72" s="37">
        <v>3614</v>
      </c>
      <c r="H72" s="37">
        <f t="shared" si="0"/>
        <v>3614</v>
      </c>
      <c r="I72" s="60">
        <f>IF("generated"=1, "Path=CLM_1, Scaled Offset=3614", 3614)</f>
        <v>3614</v>
      </c>
      <c r="J72" t="s">
        <v>97</v>
      </c>
      <c r="K72"/>
      <c r="L72"/>
      <c r="M72"/>
      <c r="N72"/>
      <c r="O72"/>
      <c r="P72"/>
      <c r="Q72"/>
      <c r="R72" s="31"/>
      <c r="S72"/>
      <c r="T72"/>
      <c r="U72"/>
      <c r="V72"/>
      <c r="W72"/>
      <c r="X72"/>
      <c r="Y72"/>
      <c r="Z72"/>
    </row>
    <row r="73" spans="1:26" s="26" customFormat="1" x14ac:dyDescent="0.25">
      <c r="A73" s="53" t="s">
        <v>26</v>
      </c>
      <c r="B73">
        <v>11066</v>
      </c>
      <c r="C73" t="s">
        <v>166</v>
      </c>
      <c r="D73" t="s">
        <v>47</v>
      </c>
      <c r="E73" t="s">
        <v>101</v>
      </c>
      <c r="F73"/>
      <c r="G73" s="37">
        <v>3739</v>
      </c>
      <c r="H73" s="37">
        <f t="shared" ref="H73:H136" si="1">G73</f>
        <v>3739</v>
      </c>
      <c r="I73" s="60">
        <f>IF("generated"=1, "Path=CLM_1, Scaled Offset=3739", 3739)</f>
        <v>3739</v>
      </c>
      <c r="J73" t="s">
        <v>97</v>
      </c>
      <c r="K73"/>
      <c r="L73"/>
      <c r="M73"/>
      <c r="N73"/>
      <c r="O73"/>
      <c r="P73"/>
      <c r="Q73"/>
      <c r="R73" s="31"/>
      <c r="S73"/>
      <c r="T73"/>
      <c r="U73"/>
      <c r="V73"/>
      <c r="W73"/>
      <c r="X73"/>
      <c r="Y73"/>
      <c r="Z73"/>
    </row>
    <row r="74" spans="1:26" s="26" customFormat="1" x14ac:dyDescent="0.25">
      <c r="A74" s="53" t="s">
        <v>26</v>
      </c>
      <c r="B74">
        <v>11067</v>
      </c>
      <c r="C74" t="s">
        <v>167</v>
      </c>
      <c r="D74" t="s">
        <v>47</v>
      </c>
      <c r="E74" t="s">
        <v>101</v>
      </c>
      <c r="F74"/>
      <c r="G74" s="37">
        <v>3939</v>
      </c>
      <c r="H74" s="37">
        <f t="shared" si="1"/>
        <v>3939</v>
      </c>
      <c r="I74" s="60">
        <f>IF("generated"=1, "Path=CLM_1, Scaled Offset=3939", 3939)</f>
        <v>3939</v>
      </c>
      <c r="J74" t="s">
        <v>97</v>
      </c>
      <c r="K74"/>
      <c r="L74"/>
      <c r="M74"/>
      <c r="N74"/>
      <c r="O74"/>
      <c r="P74"/>
      <c r="Q74"/>
      <c r="R74" s="31"/>
      <c r="S74"/>
      <c r="T74"/>
      <c r="U74"/>
      <c r="V74"/>
      <c r="W74"/>
      <c r="X74"/>
      <c r="Y74"/>
      <c r="Z74"/>
    </row>
    <row r="75" spans="1:26" s="26" customFormat="1" x14ac:dyDescent="0.25">
      <c r="A75" s="53" t="s">
        <v>26</v>
      </c>
      <c r="B75">
        <v>11068</v>
      </c>
      <c r="C75" t="s">
        <v>168</v>
      </c>
      <c r="D75" t="s">
        <v>47</v>
      </c>
      <c r="E75" t="s">
        <v>101</v>
      </c>
      <c r="F75"/>
      <c r="G75" s="37">
        <v>4135</v>
      </c>
      <c r="H75" s="37">
        <f t="shared" si="1"/>
        <v>4135</v>
      </c>
      <c r="I75" s="60">
        <f>IF("generated"=1, "Path=CLM_1, Scaled Offset=4135", 4135)</f>
        <v>4135</v>
      </c>
      <c r="J75" t="s">
        <v>97</v>
      </c>
      <c r="K75"/>
      <c r="L75"/>
      <c r="M75"/>
      <c r="N75"/>
      <c r="O75"/>
      <c r="P75"/>
      <c r="Q75"/>
      <c r="R75" s="31"/>
      <c r="S75"/>
      <c r="T75"/>
      <c r="U75"/>
      <c r="V75"/>
      <c r="W75"/>
      <c r="X75"/>
      <c r="Y75"/>
      <c r="Z75"/>
    </row>
    <row r="76" spans="1:26" s="26" customFormat="1" x14ac:dyDescent="0.25">
      <c r="A76" s="53" t="s">
        <v>26</v>
      </c>
      <c r="B76">
        <v>11069</v>
      </c>
      <c r="C76" t="s">
        <v>169</v>
      </c>
      <c r="D76" t="s">
        <v>47</v>
      </c>
      <c r="E76" t="s">
        <v>101</v>
      </c>
      <c r="F76"/>
      <c r="G76" s="37">
        <v>4255</v>
      </c>
      <c r="H76" s="37">
        <f t="shared" si="1"/>
        <v>4255</v>
      </c>
      <c r="I76" s="60">
        <f>IF("generated"=1, "Path=CLM_1, Scaled Offset=4255", 4255)</f>
        <v>4255</v>
      </c>
      <c r="J76" t="s">
        <v>97</v>
      </c>
      <c r="K76"/>
      <c r="L76"/>
      <c r="M76"/>
      <c r="N76"/>
      <c r="O76"/>
      <c r="P76"/>
      <c r="Q76"/>
      <c r="R76" s="31"/>
      <c r="S76"/>
      <c r="T76"/>
      <c r="U76"/>
      <c r="V76"/>
      <c r="W76"/>
      <c r="X76"/>
      <c r="Y76"/>
      <c r="Z76"/>
    </row>
    <row r="77" spans="1:26" s="26" customFormat="1" x14ac:dyDescent="0.25">
      <c r="A77" s="53" t="s">
        <v>26</v>
      </c>
      <c r="B77">
        <v>11070</v>
      </c>
      <c r="C77" t="s">
        <v>170</v>
      </c>
      <c r="D77" t="s">
        <v>47</v>
      </c>
      <c r="E77" t="s">
        <v>101</v>
      </c>
      <c r="F77"/>
      <c r="G77" s="37">
        <v>4276</v>
      </c>
      <c r="H77" s="37">
        <f t="shared" si="1"/>
        <v>4276</v>
      </c>
      <c r="I77" s="60">
        <f>IF("generated"=1, "Path=CLM_1, Scaled Offset=4276", 4276)</f>
        <v>4276</v>
      </c>
      <c r="J77" t="s">
        <v>97</v>
      </c>
      <c r="K77"/>
      <c r="L77"/>
      <c r="M77"/>
      <c r="N77"/>
      <c r="O77"/>
      <c r="P77"/>
      <c r="Q77"/>
      <c r="R77" s="31"/>
      <c r="S77"/>
      <c r="T77"/>
      <c r="U77"/>
      <c r="V77"/>
      <c r="W77"/>
      <c r="X77"/>
      <c r="Y77"/>
      <c r="Z77"/>
    </row>
    <row r="78" spans="1:26" s="26" customFormat="1" x14ac:dyDescent="0.25">
      <c r="A78" s="53" t="s">
        <v>26</v>
      </c>
      <c r="B78">
        <v>11071</v>
      </c>
      <c r="C78" t="s">
        <v>171</v>
      </c>
      <c r="D78" t="s">
        <v>47</v>
      </c>
      <c r="E78" t="s">
        <v>101</v>
      </c>
      <c r="F78"/>
      <c r="G78" s="37">
        <v>4371.92</v>
      </c>
      <c r="H78" s="37">
        <f t="shared" si="1"/>
        <v>4371.92</v>
      </c>
      <c r="I78" s="60">
        <f>IF("generated"=1, "Path=CLM_1, Scaled Offset=4371.920000000000072759576141834259", 4371.92)</f>
        <v>4371.92</v>
      </c>
      <c r="J78" t="s">
        <v>97</v>
      </c>
      <c r="K78"/>
      <c r="L78"/>
      <c r="M78"/>
      <c r="N78"/>
      <c r="O78"/>
      <c r="P78"/>
      <c r="Q78"/>
      <c r="R78" s="31"/>
      <c r="S78"/>
      <c r="T78"/>
      <c r="U78"/>
      <c r="V78"/>
      <c r="W78"/>
      <c r="X78"/>
      <c r="Y78"/>
      <c r="Z78"/>
    </row>
    <row r="79" spans="1:26" s="26" customFormat="1" x14ac:dyDescent="0.25">
      <c r="A79" s="53" t="s">
        <v>26</v>
      </c>
      <c r="B79">
        <v>11072</v>
      </c>
      <c r="C79" t="s">
        <v>172</v>
      </c>
      <c r="D79" t="s">
        <v>47</v>
      </c>
      <c r="E79" t="s">
        <v>101</v>
      </c>
      <c r="F79"/>
      <c r="G79" s="37">
        <v>4386.78</v>
      </c>
      <c r="H79" s="37">
        <f t="shared" si="1"/>
        <v>4386.78</v>
      </c>
      <c r="I79" s="60">
        <f>IF("generated"=1, "Path=CLM_1, Scaled Offset=4386.7799999999997453414835035800934", 4386.77999999999)</f>
        <v>4386.7799999999897</v>
      </c>
      <c r="J79" t="s">
        <v>97</v>
      </c>
      <c r="K79"/>
      <c r="L79"/>
      <c r="M79"/>
      <c r="N79"/>
      <c r="O79"/>
      <c r="P79"/>
      <c r="Q79"/>
      <c r="R79" s="31"/>
      <c r="S79"/>
      <c r="T79"/>
      <c r="U79"/>
      <c r="V79"/>
      <c r="W79"/>
      <c r="X79"/>
      <c r="Y79"/>
      <c r="Z79"/>
    </row>
    <row r="80" spans="1:26" s="26" customFormat="1" x14ac:dyDescent="0.25">
      <c r="A80" s="53" t="s">
        <v>26</v>
      </c>
      <c r="B80">
        <v>11073</v>
      </c>
      <c r="C80" t="s">
        <v>173</v>
      </c>
      <c r="D80" t="s">
        <v>47</v>
      </c>
      <c r="E80" t="s">
        <v>101</v>
      </c>
      <c r="F80"/>
      <c r="G80" s="37">
        <v>4389.78</v>
      </c>
      <c r="H80" s="37">
        <f t="shared" si="1"/>
        <v>4389.78</v>
      </c>
      <c r="I80" s="60">
        <f>IF("generated"=1, "Path=CLM_1, Scaled Offset=4389.7799999999997453414835035800934", 4389.77999999999)</f>
        <v>4389.7799999999897</v>
      </c>
      <c r="J80" t="s">
        <v>97</v>
      </c>
      <c r="K80"/>
      <c r="L80"/>
      <c r="M80"/>
      <c r="N80"/>
      <c r="O80"/>
      <c r="P80"/>
      <c r="Q80"/>
      <c r="R80" s="31"/>
      <c r="S80"/>
      <c r="T80"/>
      <c r="U80"/>
      <c r="V80"/>
      <c r="W80"/>
      <c r="X80"/>
      <c r="Y80"/>
      <c r="Z80"/>
    </row>
    <row r="81" spans="1:26" s="26" customFormat="1" x14ac:dyDescent="0.25">
      <c r="A81" s="53" t="s">
        <v>26</v>
      </c>
      <c r="B81">
        <v>11074</v>
      </c>
      <c r="C81" t="s">
        <v>174</v>
      </c>
      <c r="D81" t="s">
        <v>47</v>
      </c>
      <c r="E81" t="s">
        <v>101</v>
      </c>
      <c r="F81"/>
      <c r="G81" s="37">
        <v>4409.7</v>
      </c>
      <c r="H81" s="37">
        <f t="shared" si="1"/>
        <v>4409.7</v>
      </c>
      <c r="I81" s="60">
        <f>IF("generated"=1, "Path=CLM_1, Scaled Offset=4409.6999999999998181010596454143524", 4409.69999999999)</f>
        <v>4409.6999999999898</v>
      </c>
      <c r="J81" t="s">
        <v>97</v>
      </c>
      <c r="K81"/>
      <c r="L81"/>
      <c r="M81"/>
      <c r="N81"/>
      <c r="O81"/>
      <c r="P81"/>
      <c r="Q81"/>
      <c r="R81" s="31"/>
      <c r="S81"/>
      <c r="T81"/>
      <c r="U81"/>
      <c r="V81"/>
      <c r="W81"/>
      <c r="X81"/>
      <c r="Y81"/>
      <c r="Z81"/>
    </row>
    <row r="82" spans="1:26" s="26" customFormat="1" x14ac:dyDescent="0.25">
      <c r="A82" s="53" t="s">
        <v>26</v>
      </c>
      <c r="B82">
        <v>11075</v>
      </c>
      <c r="C82" t="s">
        <v>175</v>
      </c>
      <c r="D82" t="s">
        <v>47</v>
      </c>
      <c r="E82" t="s">
        <v>101</v>
      </c>
      <c r="F82"/>
      <c r="G82" s="37">
        <v>4412.7</v>
      </c>
      <c r="H82" s="37">
        <f t="shared" si="1"/>
        <v>4412.7</v>
      </c>
      <c r="I82" s="60">
        <f>IF("generated"=1, "Path=CLM_1, Scaled Offset=4412.6999999999998181010596454143524", 4412.69999999999)</f>
        <v>4412.6999999999898</v>
      </c>
      <c r="J82" t="s">
        <v>97</v>
      </c>
      <c r="K82"/>
      <c r="L82"/>
      <c r="M82"/>
      <c r="N82"/>
      <c r="O82"/>
      <c r="P82"/>
      <c r="Q82"/>
      <c r="R82" s="31"/>
      <c r="S82"/>
      <c r="T82"/>
      <c r="U82"/>
      <c r="V82"/>
      <c r="W82"/>
      <c r="X82"/>
      <c r="Y82"/>
      <c r="Z82"/>
    </row>
    <row r="83" spans="1:26" s="26" customFormat="1" x14ac:dyDescent="0.25">
      <c r="A83" s="53" t="s">
        <v>26</v>
      </c>
      <c r="B83">
        <v>11076</v>
      </c>
      <c r="C83" t="s">
        <v>176</v>
      </c>
      <c r="D83" t="s">
        <v>47</v>
      </c>
      <c r="E83" t="s">
        <v>101</v>
      </c>
      <c r="F83"/>
      <c r="G83" s="37">
        <v>4470.72</v>
      </c>
      <c r="H83" s="37">
        <f t="shared" si="1"/>
        <v>4470.72</v>
      </c>
      <c r="I83" s="60">
        <f>IF("generated"=1, "Path=CLM_1, Scaled Offset=4470.7200000000002546585164964199066", 4470.72)</f>
        <v>4470.72</v>
      </c>
      <c r="J83" t="s">
        <v>97</v>
      </c>
      <c r="K83"/>
      <c r="L83"/>
      <c r="M83"/>
      <c r="N83"/>
      <c r="O83"/>
      <c r="P83"/>
      <c r="Q83"/>
      <c r="R83" s="31"/>
      <c r="S83"/>
      <c r="T83"/>
      <c r="U83"/>
      <c r="V83"/>
      <c r="W83"/>
      <c r="X83"/>
      <c r="Y83"/>
      <c r="Z83"/>
    </row>
    <row r="84" spans="1:26" s="26" customFormat="1" x14ac:dyDescent="0.25">
      <c r="A84" s="53" t="s">
        <v>26</v>
      </c>
      <c r="B84">
        <v>11077</v>
      </c>
      <c r="C84" t="s">
        <v>177</v>
      </c>
      <c r="D84" t="s">
        <v>47</v>
      </c>
      <c r="E84" t="s">
        <v>101</v>
      </c>
      <c r="F84"/>
      <c r="G84" s="37">
        <v>4505.82</v>
      </c>
      <c r="H84" s="37">
        <f t="shared" si="1"/>
        <v>4505.82</v>
      </c>
      <c r="I84" s="60">
        <f>IF("generated"=1, "Path=CLM_1, Scaled Offset=4505.8199999999997089616954326629639", 4505.81999999999)</f>
        <v>4505.8199999999897</v>
      </c>
      <c r="J84" t="s">
        <v>97</v>
      </c>
      <c r="K84"/>
      <c r="L84"/>
      <c r="M84"/>
      <c r="N84"/>
      <c r="O84"/>
      <c r="P84"/>
      <c r="Q84"/>
      <c r="R84" s="31"/>
      <c r="S84"/>
      <c r="T84"/>
      <c r="U84"/>
      <c r="V84"/>
      <c r="W84"/>
      <c r="X84"/>
      <c r="Y84"/>
      <c r="Z84"/>
    </row>
    <row r="85" spans="1:26" s="26" customFormat="1" x14ac:dyDescent="0.25">
      <c r="A85" s="53" t="s">
        <v>26</v>
      </c>
      <c r="B85">
        <v>11078</v>
      </c>
      <c r="C85" t="s">
        <v>178</v>
      </c>
      <c r="D85" t="s">
        <v>47</v>
      </c>
      <c r="E85" t="s">
        <v>101</v>
      </c>
      <c r="F85"/>
      <c r="G85" s="37">
        <v>4508.82</v>
      </c>
      <c r="H85" s="37">
        <f t="shared" si="1"/>
        <v>4508.82</v>
      </c>
      <c r="I85" s="60">
        <f>IF("generated"=1, "Path=CLM_1, Scaled Offset=4508.8199999999997089616954326629639", 4508.81999999999)</f>
        <v>4508.8199999999897</v>
      </c>
      <c r="J85" t="s">
        <v>97</v>
      </c>
      <c r="K85"/>
      <c r="L85"/>
      <c r="M85"/>
      <c r="N85"/>
      <c r="O85"/>
      <c r="P85"/>
      <c r="Q85"/>
      <c r="R85" s="31"/>
      <c r="S85"/>
      <c r="T85"/>
      <c r="U85"/>
      <c r="V85"/>
      <c r="W85"/>
      <c r="X85"/>
      <c r="Y85"/>
      <c r="Z85"/>
    </row>
    <row r="86" spans="1:26" s="26" customFormat="1" x14ac:dyDescent="0.25">
      <c r="A86" s="53" t="s">
        <v>26</v>
      </c>
      <c r="B86">
        <v>11079</v>
      </c>
      <c r="C86" t="s">
        <v>179</v>
      </c>
      <c r="D86" t="s">
        <v>47</v>
      </c>
      <c r="E86" t="s">
        <v>101</v>
      </c>
      <c r="F86"/>
      <c r="G86" s="37">
        <v>4528.74</v>
      </c>
      <c r="H86" s="37">
        <f t="shared" si="1"/>
        <v>4528.74</v>
      </c>
      <c r="I86" s="60">
        <f>IF("generated"=1, "Path=CLM_1, Scaled Offset=4528.7399999999997817212715744972229", 4528.73999999999)</f>
        <v>4528.7399999999898</v>
      </c>
      <c r="J86" t="s">
        <v>97</v>
      </c>
      <c r="K86"/>
      <c r="L86"/>
      <c r="M86"/>
      <c r="N86"/>
      <c r="O86"/>
      <c r="P86"/>
      <c r="Q86"/>
      <c r="R86" s="31"/>
      <c r="S86"/>
      <c r="T86"/>
      <c r="U86"/>
      <c r="V86"/>
      <c r="W86"/>
      <c r="X86"/>
      <c r="Y86"/>
      <c r="Z86"/>
    </row>
    <row r="87" spans="1:26" x14ac:dyDescent="0.25">
      <c r="A87" s="53" t="s">
        <v>26</v>
      </c>
      <c r="B87">
        <v>11080</v>
      </c>
      <c r="C87" t="s">
        <v>180</v>
      </c>
      <c r="D87" t="s">
        <v>47</v>
      </c>
      <c r="E87" t="s">
        <v>101</v>
      </c>
      <c r="G87" s="37">
        <v>4531.74</v>
      </c>
      <c r="H87" s="37">
        <f t="shared" si="1"/>
        <v>4531.74</v>
      </c>
      <c r="I87" s="60">
        <f>IF("generated"=1, "Path=CLM_1, Scaled Offset=4531.7399999999997817212715744972229", 4531.73999999999)</f>
        <v>4531.7399999999898</v>
      </c>
      <c r="J87" t="s">
        <v>97</v>
      </c>
    </row>
    <row r="88" spans="1:26" x14ac:dyDescent="0.25">
      <c r="A88" s="53" t="s">
        <v>26</v>
      </c>
      <c r="B88">
        <v>11081</v>
      </c>
      <c r="C88" t="s">
        <v>181</v>
      </c>
      <c r="D88" t="s">
        <v>47</v>
      </c>
      <c r="E88" t="s">
        <v>101</v>
      </c>
      <c r="G88" s="37">
        <v>4584.16</v>
      </c>
      <c r="H88" s="37">
        <f t="shared" si="1"/>
        <v>4584.16</v>
      </c>
      <c r="I88" s="60">
        <f>IF("generated"=1, "Path=CLM_1, Scaled Offset=4584.1599999999998544808477163314819", 4584.15999999999)</f>
        <v>4584.1599999999899</v>
      </c>
      <c r="J88" t="s">
        <v>97</v>
      </c>
    </row>
    <row r="89" spans="1:26" x14ac:dyDescent="0.25">
      <c r="A89" s="53" t="s">
        <v>26</v>
      </c>
      <c r="B89">
        <v>11082</v>
      </c>
      <c r="C89" t="s">
        <v>182</v>
      </c>
      <c r="D89" t="s">
        <v>47</v>
      </c>
      <c r="E89" t="s">
        <v>101</v>
      </c>
      <c r="G89" s="37">
        <v>4667</v>
      </c>
      <c r="H89" s="37">
        <f t="shared" si="1"/>
        <v>4667</v>
      </c>
      <c r="I89" s="60">
        <f>IF("generated"=1, "Path=CLM_1, Scaled Offset=4667", 4667)</f>
        <v>4667</v>
      </c>
      <c r="J89" t="s">
        <v>97</v>
      </c>
    </row>
    <row r="90" spans="1:26" x14ac:dyDescent="0.25">
      <c r="A90" s="53" t="s">
        <v>26</v>
      </c>
      <c r="B90">
        <v>11083</v>
      </c>
      <c r="C90" t="s">
        <v>183</v>
      </c>
      <c r="D90" t="s">
        <v>47</v>
      </c>
      <c r="E90" t="s">
        <v>101</v>
      </c>
      <c r="G90" s="37">
        <v>4688</v>
      </c>
      <c r="H90" s="37">
        <f t="shared" si="1"/>
        <v>4688</v>
      </c>
      <c r="I90" s="60">
        <f>IF("generated"=1, "Path=CLM_1, Scaled Offset=4688", 4688)</f>
        <v>4688</v>
      </c>
      <c r="J90" t="s">
        <v>97</v>
      </c>
    </row>
    <row r="91" spans="1:26" x14ac:dyDescent="0.25">
      <c r="A91" s="53" t="s">
        <v>26</v>
      </c>
      <c r="B91">
        <v>11084</v>
      </c>
      <c r="C91" t="s">
        <v>184</v>
      </c>
      <c r="D91" t="s">
        <v>47</v>
      </c>
      <c r="E91" t="s">
        <v>101</v>
      </c>
      <c r="G91" s="37">
        <v>4808</v>
      </c>
      <c r="H91" s="37">
        <f t="shared" si="1"/>
        <v>4808</v>
      </c>
      <c r="I91" s="60">
        <f>IF("generated"=1, "Path=CLM_1, Scaled Offset=4808", 4808)</f>
        <v>4808</v>
      </c>
      <c r="J91" t="s">
        <v>97</v>
      </c>
    </row>
    <row r="92" spans="1:26" x14ac:dyDescent="0.25">
      <c r="A92" s="53" t="s">
        <v>26</v>
      </c>
      <c r="B92">
        <v>11085</v>
      </c>
      <c r="C92" t="s">
        <v>185</v>
      </c>
      <c r="D92" t="s">
        <v>47</v>
      </c>
      <c r="E92" t="s">
        <v>101</v>
      </c>
      <c r="G92" s="37">
        <v>4988</v>
      </c>
      <c r="H92" s="37">
        <f t="shared" si="1"/>
        <v>4988</v>
      </c>
      <c r="I92" s="60">
        <f>IF("generated"=1, "Path=CLM_1, Scaled Offset=4988", 4988)</f>
        <v>4988</v>
      </c>
      <c r="J92" t="s">
        <v>97</v>
      </c>
    </row>
    <row r="93" spans="1:26" x14ac:dyDescent="0.25">
      <c r="A93" s="53" t="s">
        <v>26</v>
      </c>
      <c r="B93">
        <v>11086</v>
      </c>
      <c r="C93" t="s">
        <v>186</v>
      </c>
      <c r="D93" t="s">
        <v>47</v>
      </c>
      <c r="E93" t="s">
        <v>101</v>
      </c>
      <c r="G93" s="37">
        <v>5168</v>
      </c>
      <c r="H93" s="37">
        <f t="shared" si="1"/>
        <v>5168</v>
      </c>
      <c r="I93" s="60">
        <f>IF("generated"=1, "Path=CLM_1, Scaled Offset=5168", 5168)</f>
        <v>5168</v>
      </c>
      <c r="J93" t="s">
        <v>97</v>
      </c>
    </row>
    <row r="94" spans="1:26" x14ac:dyDescent="0.25">
      <c r="A94" s="53" t="s">
        <v>26</v>
      </c>
      <c r="B94">
        <v>11087</v>
      </c>
      <c r="C94" t="s">
        <v>187</v>
      </c>
      <c r="D94" t="s">
        <v>47</v>
      </c>
      <c r="E94" t="s">
        <v>101</v>
      </c>
      <c r="G94" s="37">
        <v>5238</v>
      </c>
      <c r="H94" s="37">
        <f t="shared" si="1"/>
        <v>5238</v>
      </c>
      <c r="I94" s="60">
        <f>IF("generated"=1, "Path=CLM_1, Scaled Offset=5238", 5238)</f>
        <v>5238</v>
      </c>
      <c r="J94" t="s">
        <v>97</v>
      </c>
    </row>
    <row r="95" spans="1:26" x14ac:dyDescent="0.25">
      <c r="A95" s="53" t="s">
        <v>26</v>
      </c>
      <c r="B95">
        <v>11088</v>
      </c>
      <c r="C95" t="s">
        <v>188</v>
      </c>
      <c r="D95" t="s">
        <v>47</v>
      </c>
      <c r="E95" t="s">
        <v>101</v>
      </c>
      <c r="G95" s="37">
        <v>5358</v>
      </c>
      <c r="H95" s="37">
        <f t="shared" si="1"/>
        <v>5358</v>
      </c>
      <c r="I95" s="60">
        <f>IF("generated"=1, "Path=CLM_1, Scaled Offset=5358", 5358)</f>
        <v>5358</v>
      </c>
      <c r="J95" t="s">
        <v>97</v>
      </c>
    </row>
    <row r="96" spans="1:26" x14ac:dyDescent="0.25">
      <c r="A96" s="53" t="s">
        <v>26</v>
      </c>
      <c r="B96">
        <v>11089</v>
      </c>
      <c r="C96" t="s">
        <v>189</v>
      </c>
      <c r="D96" t="s">
        <v>47</v>
      </c>
      <c r="E96" t="s">
        <v>101</v>
      </c>
      <c r="G96" s="37">
        <v>5379</v>
      </c>
      <c r="H96" s="37">
        <f t="shared" si="1"/>
        <v>5379</v>
      </c>
      <c r="I96" s="60">
        <f>IF("generated"=1, "Path=CLM_1, Scaled Offset=5379", 5379)</f>
        <v>5379</v>
      </c>
      <c r="J96" t="s">
        <v>97</v>
      </c>
    </row>
    <row r="97" spans="1:10" x14ac:dyDescent="0.25">
      <c r="A97" s="53" t="s">
        <v>26</v>
      </c>
      <c r="B97">
        <v>11090</v>
      </c>
      <c r="C97" t="s">
        <v>190</v>
      </c>
      <c r="D97" t="s">
        <v>47</v>
      </c>
      <c r="E97" t="s">
        <v>101</v>
      </c>
      <c r="G97" s="37">
        <v>5453.53</v>
      </c>
      <c r="H97" s="37">
        <f t="shared" si="1"/>
        <v>5453.53</v>
      </c>
      <c r="I97" s="60">
        <f>IF("generated"=1, "Path=CLM_1, Scaled Offset=5453.5299999999997453414835035800934", 5453.52999999999)</f>
        <v>5453.5299999999897</v>
      </c>
      <c r="J97" t="s">
        <v>97</v>
      </c>
    </row>
    <row r="98" spans="1:10" x14ac:dyDescent="0.25">
      <c r="A98" s="53" t="s">
        <v>26</v>
      </c>
      <c r="B98">
        <v>11091</v>
      </c>
      <c r="C98" t="s">
        <v>191</v>
      </c>
      <c r="D98" t="s">
        <v>47</v>
      </c>
      <c r="E98" t="s">
        <v>101</v>
      </c>
      <c r="G98" s="37">
        <v>5468.39</v>
      </c>
      <c r="H98" s="37">
        <f t="shared" si="1"/>
        <v>5468.39</v>
      </c>
      <c r="I98" s="60">
        <f>IF("generated"=1, "Path=CLM_1, Scaled Offset=5468.3900000000003274180926382541656", 5468.39)</f>
        <v>5468.39</v>
      </c>
      <c r="J98" t="s">
        <v>97</v>
      </c>
    </row>
    <row r="99" spans="1:10" x14ac:dyDescent="0.25">
      <c r="A99" s="53" t="s">
        <v>26</v>
      </c>
      <c r="B99">
        <v>11092</v>
      </c>
      <c r="C99" t="s">
        <v>192</v>
      </c>
      <c r="D99" t="s">
        <v>47</v>
      </c>
      <c r="E99" t="s">
        <v>101</v>
      </c>
      <c r="G99" s="37">
        <v>5471.39</v>
      </c>
      <c r="H99" s="37">
        <f t="shared" si="1"/>
        <v>5471.39</v>
      </c>
      <c r="I99" s="60">
        <f>IF("generated"=1, "Path=CLM_1, Scaled Offset=5471.3900000000003274180926382541656", 5471.39)</f>
        <v>5471.39</v>
      </c>
      <c r="J99" t="s">
        <v>97</v>
      </c>
    </row>
    <row r="100" spans="1:10" x14ac:dyDescent="0.25">
      <c r="A100" s="53" t="s">
        <v>26</v>
      </c>
      <c r="B100">
        <v>11093</v>
      </c>
      <c r="C100" t="s">
        <v>193</v>
      </c>
      <c r="D100" t="s">
        <v>47</v>
      </c>
      <c r="E100" t="s">
        <v>101</v>
      </c>
      <c r="G100" s="37">
        <v>5491.31</v>
      </c>
      <c r="H100" s="37">
        <f t="shared" si="1"/>
        <v>5491.31</v>
      </c>
      <c r="I100" s="60">
        <f>IF("generated"=1, "Path=CLM_1, Scaled Offset=5491.3100000000004001776687800884247", 5491.31)</f>
        <v>5491.31</v>
      </c>
      <c r="J100" t="s">
        <v>97</v>
      </c>
    </row>
    <row r="101" spans="1:10" x14ac:dyDescent="0.25">
      <c r="A101" s="53" t="s">
        <v>26</v>
      </c>
      <c r="B101">
        <v>11094</v>
      </c>
      <c r="C101" t="s">
        <v>194</v>
      </c>
      <c r="D101" t="s">
        <v>47</v>
      </c>
      <c r="E101" t="s">
        <v>101</v>
      </c>
      <c r="G101" s="37">
        <v>5494.31</v>
      </c>
      <c r="H101" s="37">
        <f t="shared" si="1"/>
        <v>5494.31</v>
      </c>
      <c r="I101" s="60">
        <f>IF("generated"=1, "Path=CLM_1, Scaled Offset=5494.3100000000004001776687800884247", 5494.31)</f>
        <v>5494.31</v>
      </c>
      <c r="J101" t="s">
        <v>97</v>
      </c>
    </row>
    <row r="102" spans="1:10" x14ac:dyDescent="0.25">
      <c r="A102" s="53" t="s">
        <v>26</v>
      </c>
      <c r="B102">
        <v>11095</v>
      </c>
      <c r="C102" t="s">
        <v>195</v>
      </c>
      <c r="D102" t="s">
        <v>47</v>
      </c>
      <c r="E102" t="s">
        <v>101</v>
      </c>
      <c r="G102" s="37">
        <v>5552.33</v>
      </c>
      <c r="H102" s="37">
        <f t="shared" si="1"/>
        <v>5552.33</v>
      </c>
      <c r="I102" s="60">
        <f>IF("generated"=1, "Path=CLM_1, Scaled Offset=5552.329999999999927240423858165741", 5552.32999999999)</f>
        <v>5552.3299999999899</v>
      </c>
      <c r="J102" t="s">
        <v>97</v>
      </c>
    </row>
    <row r="103" spans="1:10" x14ac:dyDescent="0.25">
      <c r="A103" s="53" t="s">
        <v>26</v>
      </c>
      <c r="B103">
        <v>11096</v>
      </c>
      <c r="C103" t="s">
        <v>196</v>
      </c>
      <c r="D103" t="s">
        <v>47</v>
      </c>
      <c r="E103" t="s">
        <v>101</v>
      </c>
      <c r="G103" s="37">
        <v>5587.43</v>
      </c>
      <c r="H103" s="37">
        <f t="shared" si="1"/>
        <v>5587.43</v>
      </c>
      <c r="I103" s="60">
        <f>IF("generated"=1, "Path=CLM_1, Scaled Offset=5587.4300000000002910383045673370361", 5587.43)</f>
        <v>5587.43</v>
      </c>
      <c r="J103" t="s">
        <v>97</v>
      </c>
    </row>
    <row r="104" spans="1:10" x14ac:dyDescent="0.25">
      <c r="A104" s="53" t="s">
        <v>26</v>
      </c>
      <c r="B104">
        <v>11097</v>
      </c>
      <c r="C104" t="s">
        <v>197</v>
      </c>
      <c r="D104" t="s">
        <v>47</v>
      </c>
      <c r="E104" t="s">
        <v>101</v>
      </c>
      <c r="G104" s="37">
        <v>5590.43</v>
      </c>
      <c r="H104" s="37">
        <f t="shared" si="1"/>
        <v>5590.43</v>
      </c>
      <c r="I104" s="60">
        <f>IF("generated"=1, "Path=CLM_1, Scaled Offset=5590.4300000000002910383045673370361", 5590.43)</f>
        <v>5590.43</v>
      </c>
      <c r="J104" t="s">
        <v>97</v>
      </c>
    </row>
    <row r="105" spans="1:10" x14ac:dyDescent="0.25">
      <c r="A105" s="53" t="s">
        <v>26</v>
      </c>
      <c r="B105">
        <v>11098</v>
      </c>
      <c r="C105" t="s">
        <v>198</v>
      </c>
      <c r="D105" t="s">
        <v>47</v>
      </c>
      <c r="E105" t="s">
        <v>101</v>
      </c>
      <c r="G105" s="37">
        <v>5610.35</v>
      </c>
      <c r="H105" s="37">
        <f t="shared" si="1"/>
        <v>5610.35</v>
      </c>
      <c r="I105" s="60">
        <f>IF("generated"=1, "Path=CLM_1, Scaled Offset=5610.3500000000003637978807091712952", 5610.35)</f>
        <v>5610.35</v>
      </c>
      <c r="J105" t="s">
        <v>97</v>
      </c>
    </row>
    <row r="106" spans="1:10" x14ac:dyDescent="0.25">
      <c r="A106" s="53" t="s">
        <v>26</v>
      </c>
      <c r="B106">
        <v>11099</v>
      </c>
      <c r="C106" t="s">
        <v>199</v>
      </c>
      <c r="D106" t="s">
        <v>47</v>
      </c>
      <c r="E106" t="s">
        <v>101</v>
      </c>
      <c r="G106" s="37">
        <v>5613.35</v>
      </c>
      <c r="H106" s="37">
        <f t="shared" si="1"/>
        <v>5613.35</v>
      </c>
      <c r="I106" s="60">
        <f>IF("generated"=1, "Path=CLM_1, Scaled Offset=5613.3500000000003637978807091712952", 5613.35)</f>
        <v>5613.35</v>
      </c>
      <c r="J106" t="s">
        <v>97</v>
      </c>
    </row>
    <row r="107" spans="1:10" x14ac:dyDescent="0.25">
      <c r="A107" s="53" t="s">
        <v>26</v>
      </c>
      <c r="B107">
        <v>11100</v>
      </c>
      <c r="C107" t="s">
        <v>200</v>
      </c>
      <c r="D107" t="s">
        <v>47</v>
      </c>
      <c r="E107" t="s">
        <v>101</v>
      </c>
      <c r="G107" s="37">
        <v>5665.77</v>
      </c>
      <c r="H107" s="37">
        <f t="shared" si="1"/>
        <v>5665.77</v>
      </c>
      <c r="I107" s="60">
        <f>IF("generated"=1, "Path=CLM_1, Scaled Offset=5665.7700000000004365574568510055542", 5665.77)</f>
        <v>5665.77</v>
      </c>
      <c r="J107" t="s">
        <v>97</v>
      </c>
    </row>
    <row r="108" spans="1:10" x14ac:dyDescent="0.25">
      <c r="A108" s="53" t="s">
        <v>26</v>
      </c>
      <c r="B108">
        <v>11101</v>
      </c>
      <c r="C108" t="s">
        <v>201</v>
      </c>
      <c r="D108" t="s">
        <v>47</v>
      </c>
      <c r="E108" t="s">
        <v>101</v>
      </c>
      <c r="G108" s="37">
        <v>5745</v>
      </c>
      <c r="H108" s="37">
        <f t="shared" si="1"/>
        <v>5745</v>
      </c>
      <c r="I108" s="60">
        <f>IF("generated"=1, "Path=CLM_1, Scaled Offset=5745", 5745)</f>
        <v>5745</v>
      </c>
      <c r="J108" t="s">
        <v>97</v>
      </c>
    </row>
    <row r="109" spans="1:10" x14ac:dyDescent="0.25">
      <c r="A109" s="53" t="s">
        <v>26</v>
      </c>
      <c r="B109">
        <v>11102</v>
      </c>
      <c r="C109" t="s">
        <v>202</v>
      </c>
      <c r="D109" t="s">
        <v>47</v>
      </c>
      <c r="E109" t="s">
        <v>101</v>
      </c>
      <c r="G109" s="37">
        <v>5766</v>
      </c>
      <c r="H109" s="37">
        <f t="shared" si="1"/>
        <v>5766</v>
      </c>
      <c r="I109" s="60">
        <f>IF("generated"=1, "Path=CLM_1, Scaled Offset=5766", 5766)</f>
        <v>5766</v>
      </c>
      <c r="J109" t="s">
        <v>97</v>
      </c>
    </row>
    <row r="110" spans="1:10" x14ac:dyDescent="0.25">
      <c r="A110" s="53" t="s">
        <v>26</v>
      </c>
      <c r="B110">
        <v>11103</v>
      </c>
      <c r="C110" t="s">
        <v>203</v>
      </c>
      <c r="D110" t="s">
        <v>47</v>
      </c>
      <c r="E110" t="s">
        <v>101</v>
      </c>
      <c r="G110" s="37">
        <v>5886</v>
      </c>
      <c r="H110" s="37">
        <f t="shared" si="1"/>
        <v>5886</v>
      </c>
      <c r="I110" s="60">
        <f>IF("generated"=1, "Path=CLM_1, Scaled Offset=5886", 5886)</f>
        <v>5886</v>
      </c>
      <c r="J110" t="s">
        <v>97</v>
      </c>
    </row>
    <row r="111" spans="1:10" x14ac:dyDescent="0.25">
      <c r="A111" s="53" t="s">
        <v>26</v>
      </c>
      <c r="B111">
        <v>11104</v>
      </c>
      <c r="C111" t="s">
        <v>204</v>
      </c>
      <c r="D111" t="s">
        <v>47</v>
      </c>
      <c r="E111" t="s">
        <v>101</v>
      </c>
      <c r="G111" s="37">
        <v>6086</v>
      </c>
      <c r="H111" s="37">
        <f t="shared" si="1"/>
        <v>6086</v>
      </c>
      <c r="I111" s="60">
        <f>IF("generated"=1, "Path=CLM_1, Scaled Offset=6086", 6086)</f>
        <v>6086</v>
      </c>
      <c r="J111" t="s">
        <v>97</v>
      </c>
    </row>
    <row r="112" spans="1:10" x14ac:dyDescent="0.25">
      <c r="A112" s="53" t="s">
        <v>26</v>
      </c>
      <c r="B112">
        <v>11105</v>
      </c>
      <c r="C112" t="s">
        <v>205</v>
      </c>
      <c r="D112" t="s">
        <v>47</v>
      </c>
      <c r="E112" t="s">
        <v>101</v>
      </c>
      <c r="G112" s="37">
        <v>6176.97</v>
      </c>
      <c r="H112" s="37">
        <f t="shared" si="1"/>
        <v>6176.97</v>
      </c>
      <c r="I112" s="60">
        <f>IF("generated"=1, "Path=CLM_1, Scaled Offset=6176.9700000000002546585164964199066", 6176.97)</f>
        <v>6176.97</v>
      </c>
      <c r="J112" t="s">
        <v>97</v>
      </c>
    </row>
    <row r="113" spans="1:10" x14ac:dyDescent="0.25">
      <c r="A113" s="53" t="s">
        <v>26</v>
      </c>
      <c r="B113">
        <v>11106</v>
      </c>
      <c r="C113" t="s">
        <v>206</v>
      </c>
      <c r="D113" t="s">
        <v>47</v>
      </c>
      <c r="E113" t="s">
        <v>101</v>
      </c>
      <c r="G113" s="37">
        <v>6296.97</v>
      </c>
      <c r="H113" s="37">
        <f t="shared" si="1"/>
        <v>6296.97</v>
      </c>
      <c r="I113" s="60">
        <f>IF("generated"=1, "Path=CLM_1, Scaled Offset=6296.9700000000002546585164964199066", 6296.97)</f>
        <v>6296.97</v>
      </c>
      <c r="J113" t="s">
        <v>97</v>
      </c>
    </row>
    <row r="114" spans="1:10" x14ac:dyDescent="0.25">
      <c r="A114" s="53" t="s">
        <v>26</v>
      </c>
      <c r="B114">
        <v>11107</v>
      </c>
      <c r="C114" t="s">
        <v>207</v>
      </c>
      <c r="D114" t="s">
        <v>47</v>
      </c>
      <c r="E114" t="s">
        <v>101</v>
      </c>
      <c r="G114" s="37">
        <v>6317.97</v>
      </c>
      <c r="H114" s="37">
        <f t="shared" si="1"/>
        <v>6317.97</v>
      </c>
      <c r="I114" s="60">
        <f>IF("generated"=1, "Path=CLM_1, Scaled Offset=6317.9700000000002546585164964199066", 6317.97)</f>
        <v>6317.97</v>
      </c>
      <c r="J114" t="s">
        <v>97</v>
      </c>
    </row>
    <row r="115" spans="1:10" x14ac:dyDescent="0.25">
      <c r="A115" s="53" t="s">
        <v>26</v>
      </c>
      <c r="B115">
        <v>11108</v>
      </c>
      <c r="C115" t="s">
        <v>208</v>
      </c>
      <c r="D115" t="s">
        <v>47</v>
      </c>
      <c r="E115" t="s">
        <v>101</v>
      </c>
      <c r="G115" s="37">
        <v>6394.03</v>
      </c>
      <c r="H115" s="37">
        <f t="shared" si="1"/>
        <v>6394.03</v>
      </c>
      <c r="I115" s="60">
        <f>IF("generated"=1, "Path=CLM_1, Scaled Offset=6394.0299999999997453414835035800934", 6394.02999999999)</f>
        <v>6394.0299999999897</v>
      </c>
      <c r="J115" t="s">
        <v>97</v>
      </c>
    </row>
    <row r="116" spans="1:10" x14ac:dyDescent="0.25">
      <c r="A116" s="53" t="s">
        <v>26</v>
      </c>
      <c r="B116">
        <v>11109</v>
      </c>
      <c r="C116" t="s">
        <v>209</v>
      </c>
      <c r="D116" t="s">
        <v>47</v>
      </c>
      <c r="E116" t="s">
        <v>101</v>
      </c>
      <c r="G116" s="37">
        <v>6408.89</v>
      </c>
      <c r="H116" s="37">
        <f t="shared" si="1"/>
        <v>6408.89</v>
      </c>
      <c r="I116" s="60">
        <f>IF("generated"=1, "Path=CLM_1, Scaled Offset=6408.8900000000003274180926382541656", 6408.89)</f>
        <v>6408.89</v>
      </c>
      <c r="J116" t="s">
        <v>97</v>
      </c>
    </row>
    <row r="117" spans="1:10" x14ac:dyDescent="0.25">
      <c r="A117" s="53" t="s">
        <v>26</v>
      </c>
      <c r="B117">
        <v>11110</v>
      </c>
      <c r="C117" t="s">
        <v>210</v>
      </c>
      <c r="D117" t="s">
        <v>47</v>
      </c>
      <c r="E117" t="s">
        <v>101</v>
      </c>
      <c r="G117" s="37">
        <v>6411.89</v>
      </c>
      <c r="H117" s="37">
        <f t="shared" si="1"/>
        <v>6411.89</v>
      </c>
      <c r="I117" s="60">
        <f>IF("generated"=1, "Path=CLM_1, Scaled Offset=6411.8900000000003274180926382541656", 6411.89)</f>
        <v>6411.89</v>
      </c>
      <c r="J117" t="s">
        <v>97</v>
      </c>
    </row>
    <row r="118" spans="1:10" x14ac:dyDescent="0.25">
      <c r="A118" s="53" t="s">
        <v>26</v>
      </c>
      <c r="B118">
        <v>11111</v>
      </c>
      <c r="C118" t="s">
        <v>211</v>
      </c>
      <c r="D118" t="s">
        <v>47</v>
      </c>
      <c r="E118" t="s">
        <v>101</v>
      </c>
      <c r="G118" s="37">
        <v>6431.81</v>
      </c>
      <c r="H118" s="37">
        <f t="shared" si="1"/>
        <v>6431.81</v>
      </c>
      <c r="I118" s="60">
        <f>IF("generated"=1, "Path=CLM_1, Scaled Offset=6431.8100000000004001776687800884247", 6431.81)</f>
        <v>6431.81</v>
      </c>
      <c r="J118" t="s">
        <v>97</v>
      </c>
    </row>
    <row r="119" spans="1:10" x14ac:dyDescent="0.25">
      <c r="A119" s="53" t="s">
        <v>26</v>
      </c>
      <c r="B119">
        <v>11112</v>
      </c>
      <c r="C119" t="s">
        <v>212</v>
      </c>
      <c r="D119" t="s">
        <v>47</v>
      </c>
      <c r="E119" t="s">
        <v>101</v>
      </c>
      <c r="G119" s="37">
        <v>6434.81</v>
      </c>
      <c r="H119" s="37">
        <f t="shared" si="1"/>
        <v>6434.81</v>
      </c>
      <c r="I119" s="60">
        <f>IF("generated"=1, "Path=CLM_1, Scaled Offset=6434.8100000000004001776687800884247", 6434.81)</f>
        <v>6434.81</v>
      </c>
      <c r="J119" t="s">
        <v>97</v>
      </c>
    </row>
    <row r="120" spans="1:10" x14ac:dyDescent="0.25">
      <c r="A120" s="53" t="s">
        <v>26</v>
      </c>
      <c r="B120">
        <v>11113</v>
      </c>
      <c r="C120" t="s">
        <v>213</v>
      </c>
      <c r="D120" t="s">
        <v>47</v>
      </c>
      <c r="E120" t="s">
        <v>101</v>
      </c>
      <c r="G120" s="37">
        <v>6492.83</v>
      </c>
      <c r="H120" s="37">
        <f t="shared" si="1"/>
        <v>6492.83</v>
      </c>
      <c r="I120" s="60">
        <f>IF("generated"=1, "Path=CLM_1, Scaled Offset=6492.829999999999927240423858165741", 6492.82999999999)</f>
        <v>6492.8299999999899</v>
      </c>
      <c r="J120" t="s">
        <v>97</v>
      </c>
    </row>
    <row r="121" spans="1:10" x14ac:dyDescent="0.25">
      <c r="A121" s="53" t="s">
        <v>26</v>
      </c>
      <c r="B121">
        <v>11114</v>
      </c>
      <c r="C121" t="s">
        <v>214</v>
      </c>
      <c r="D121" t="s">
        <v>47</v>
      </c>
      <c r="E121" t="s">
        <v>101</v>
      </c>
      <c r="G121" s="37">
        <v>6527.93</v>
      </c>
      <c r="H121" s="37">
        <f t="shared" si="1"/>
        <v>6527.93</v>
      </c>
      <c r="I121" s="60">
        <f>IF("generated"=1, "Path=CLM_1, Scaled Offset=6527.9300000000002910383045673370361", 6527.93)</f>
        <v>6527.93</v>
      </c>
      <c r="J121" t="s">
        <v>97</v>
      </c>
    </row>
    <row r="122" spans="1:10" x14ac:dyDescent="0.25">
      <c r="A122" s="53" t="s">
        <v>26</v>
      </c>
      <c r="B122">
        <v>11115</v>
      </c>
      <c r="C122" t="s">
        <v>215</v>
      </c>
      <c r="D122" t="s">
        <v>47</v>
      </c>
      <c r="E122" t="s">
        <v>101</v>
      </c>
      <c r="G122" s="37">
        <v>6530.93</v>
      </c>
      <c r="H122" s="37">
        <f t="shared" si="1"/>
        <v>6530.93</v>
      </c>
      <c r="I122" s="60">
        <f>IF("generated"=1, "Path=CLM_1, Scaled Offset=6530.9300000000002910383045673370361", 6530.93)</f>
        <v>6530.93</v>
      </c>
      <c r="J122" t="s">
        <v>97</v>
      </c>
    </row>
    <row r="123" spans="1:10" x14ac:dyDescent="0.25">
      <c r="A123" s="53" t="s">
        <v>26</v>
      </c>
      <c r="B123">
        <v>11116</v>
      </c>
      <c r="C123" t="s">
        <v>216</v>
      </c>
      <c r="D123" t="s">
        <v>47</v>
      </c>
      <c r="E123" t="s">
        <v>101</v>
      </c>
      <c r="G123" s="37">
        <v>6550.85</v>
      </c>
      <c r="H123" s="37">
        <f t="shared" si="1"/>
        <v>6550.85</v>
      </c>
      <c r="I123" s="60">
        <f>IF("generated"=1, "Path=CLM_1, Scaled Offset=6550.8500000000003637978807091712952", 6550.85)</f>
        <v>6550.85</v>
      </c>
      <c r="J123" t="s">
        <v>97</v>
      </c>
    </row>
    <row r="124" spans="1:10" x14ac:dyDescent="0.25">
      <c r="A124" s="53" t="s">
        <v>26</v>
      </c>
      <c r="B124">
        <v>11117</v>
      </c>
      <c r="C124" t="s">
        <v>217</v>
      </c>
      <c r="D124" t="s">
        <v>47</v>
      </c>
      <c r="E124" t="s">
        <v>101</v>
      </c>
      <c r="G124" s="37">
        <v>6553.85</v>
      </c>
      <c r="H124" s="37">
        <f t="shared" si="1"/>
        <v>6553.85</v>
      </c>
      <c r="I124" s="60">
        <f>IF("generated"=1, "Path=CLM_1, Scaled Offset=6553.8500000000003637978807091712952", 6553.85)</f>
        <v>6553.85</v>
      </c>
      <c r="J124" t="s">
        <v>97</v>
      </c>
    </row>
    <row r="125" spans="1:10" x14ac:dyDescent="0.25">
      <c r="A125" s="53" t="s">
        <v>26</v>
      </c>
      <c r="B125">
        <v>11118</v>
      </c>
      <c r="C125" t="s">
        <v>218</v>
      </c>
      <c r="D125" t="s">
        <v>47</v>
      </c>
      <c r="E125" t="s">
        <v>101</v>
      </c>
      <c r="G125" s="37">
        <v>6606.27</v>
      </c>
      <c r="H125" s="37">
        <f t="shared" si="1"/>
        <v>6606.27</v>
      </c>
      <c r="I125" s="60">
        <f>IF("generated"=1, "Path=CLM_1, Scaled Offset=6606.2700000000004365574568510055542", 6606.27)</f>
        <v>6606.27</v>
      </c>
      <c r="J125" t="s">
        <v>97</v>
      </c>
    </row>
    <row r="126" spans="1:10" x14ac:dyDescent="0.25">
      <c r="A126" s="53" t="s">
        <v>26</v>
      </c>
      <c r="B126">
        <v>11119</v>
      </c>
      <c r="C126" t="s">
        <v>219</v>
      </c>
      <c r="D126" t="s">
        <v>47</v>
      </c>
      <c r="E126" t="s">
        <v>101</v>
      </c>
      <c r="G126" s="37">
        <v>6708</v>
      </c>
      <c r="H126" s="37">
        <f t="shared" si="1"/>
        <v>6708</v>
      </c>
      <c r="I126" s="60">
        <f>IF("generated"=1, "Path=CLM_1, Scaled Offset=6708", 6708)</f>
        <v>6708</v>
      </c>
      <c r="J126" t="s">
        <v>97</v>
      </c>
    </row>
    <row r="127" spans="1:10" x14ac:dyDescent="0.25">
      <c r="A127" s="53" t="s">
        <v>26</v>
      </c>
      <c r="B127">
        <v>11120</v>
      </c>
      <c r="C127" t="s">
        <v>220</v>
      </c>
      <c r="D127" t="s">
        <v>47</v>
      </c>
      <c r="E127" t="s">
        <v>101</v>
      </c>
      <c r="G127" s="37">
        <v>6828</v>
      </c>
      <c r="H127" s="37">
        <f t="shared" si="1"/>
        <v>6828</v>
      </c>
      <c r="I127" s="60">
        <f>IF("generated"=1, "Path=CLM_1, Scaled Offset=6828", 6828)</f>
        <v>6828</v>
      </c>
      <c r="J127" t="s">
        <v>97</v>
      </c>
    </row>
    <row r="128" spans="1:10" x14ac:dyDescent="0.25">
      <c r="A128" s="53" t="s">
        <v>26</v>
      </c>
      <c r="B128">
        <v>11121</v>
      </c>
      <c r="C128" t="s">
        <v>221</v>
      </c>
      <c r="D128" t="s">
        <v>47</v>
      </c>
      <c r="E128" t="s">
        <v>101</v>
      </c>
      <c r="G128" s="37">
        <v>6978</v>
      </c>
      <c r="H128" s="37">
        <f t="shared" si="1"/>
        <v>6978</v>
      </c>
      <c r="I128" s="60">
        <f>IF("generated"=1, "Path=CLM_1, Scaled Offset=6978", 6978)</f>
        <v>6978</v>
      </c>
      <c r="J128" t="s">
        <v>97</v>
      </c>
    </row>
    <row r="129" spans="1:10" x14ac:dyDescent="0.25">
      <c r="A129" s="53" t="s">
        <v>26</v>
      </c>
      <c r="B129">
        <v>11122</v>
      </c>
      <c r="C129" t="s">
        <v>222</v>
      </c>
      <c r="D129" t="s">
        <v>47</v>
      </c>
      <c r="E129" t="s">
        <v>101</v>
      </c>
      <c r="G129" s="37">
        <v>7128</v>
      </c>
      <c r="H129" s="37">
        <f t="shared" si="1"/>
        <v>7128</v>
      </c>
      <c r="I129" s="60">
        <f>IF("generated"=1, "Path=CLM_1, Scaled Offset=7128", 7128)</f>
        <v>7128</v>
      </c>
      <c r="J129" t="s">
        <v>97</v>
      </c>
    </row>
    <row r="130" spans="1:10" x14ac:dyDescent="0.25">
      <c r="A130" s="53" t="s">
        <v>26</v>
      </c>
      <c r="B130">
        <v>11123</v>
      </c>
      <c r="C130" t="s">
        <v>223</v>
      </c>
      <c r="D130" t="s">
        <v>47</v>
      </c>
      <c r="E130" t="s">
        <v>101</v>
      </c>
      <c r="G130" s="37">
        <v>7253</v>
      </c>
      <c r="H130" s="37">
        <f t="shared" si="1"/>
        <v>7253</v>
      </c>
      <c r="I130" s="60">
        <f>IF("generated"=1, "Path=CLM_1, Scaled Offset=7253", 7253)</f>
        <v>7253</v>
      </c>
      <c r="J130" t="s">
        <v>97</v>
      </c>
    </row>
    <row r="131" spans="1:10" x14ac:dyDescent="0.25">
      <c r="A131" s="53" t="s">
        <v>26</v>
      </c>
      <c r="B131">
        <v>11124</v>
      </c>
      <c r="C131" t="s">
        <v>224</v>
      </c>
      <c r="D131" t="s">
        <v>47</v>
      </c>
      <c r="E131" t="s">
        <v>101</v>
      </c>
      <c r="G131" s="37">
        <v>7373</v>
      </c>
      <c r="H131" s="37">
        <f t="shared" si="1"/>
        <v>7373</v>
      </c>
      <c r="I131" s="60">
        <f>IF("generated"=1, "Path=CLM_1, Scaled Offset=7373", 7373)</f>
        <v>7373</v>
      </c>
      <c r="J131" t="s">
        <v>97</v>
      </c>
    </row>
    <row r="132" spans="1:10" x14ac:dyDescent="0.25">
      <c r="A132" s="53" t="s">
        <v>26</v>
      </c>
      <c r="B132">
        <v>11125</v>
      </c>
      <c r="C132" t="s">
        <v>225</v>
      </c>
      <c r="D132" t="s">
        <v>47</v>
      </c>
      <c r="E132" t="s">
        <v>101</v>
      </c>
      <c r="G132" s="37">
        <v>7394</v>
      </c>
      <c r="H132" s="37">
        <f t="shared" si="1"/>
        <v>7394</v>
      </c>
      <c r="I132" s="60">
        <f>IF("generated"=1, "Path=CLM_1, Scaled Offset=7394", 7394)</f>
        <v>7394</v>
      </c>
      <c r="J132" t="s">
        <v>97</v>
      </c>
    </row>
    <row r="133" spans="1:10" x14ac:dyDescent="0.25">
      <c r="A133" s="53" t="s">
        <v>26</v>
      </c>
      <c r="B133">
        <v>11126</v>
      </c>
      <c r="C133" t="s">
        <v>226</v>
      </c>
      <c r="D133" t="s">
        <v>47</v>
      </c>
      <c r="E133" t="s">
        <v>101</v>
      </c>
      <c r="G133" s="37">
        <v>7490.3</v>
      </c>
      <c r="H133" s="37">
        <f t="shared" si="1"/>
        <v>7490.3</v>
      </c>
      <c r="I133" s="60">
        <f>IF("generated"=1, "Path=CLM_1, Scaled Offset=7490.3000000000001818989403545856476", 7490.3)</f>
        <v>7490.3</v>
      </c>
      <c r="J133" t="s">
        <v>97</v>
      </c>
    </row>
    <row r="134" spans="1:10" x14ac:dyDescent="0.25">
      <c r="A134" s="53" t="s">
        <v>26</v>
      </c>
      <c r="B134">
        <v>11127</v>
      </c>
      <c r="C134" t="s">
        <v>227</v>
      </c>
      <c r="D134" t="s">
        <v>47</v>
      </c>
      <c r="E134" t="s">
        <v>101</v>
      </c>
      <c r="G134" s="37">
        <v>7505.16</v>
      </c>
      <c r="H134" s="37">
        <f t="shared" si="1"/>
        <v>7505.16</v>
      </c>
      <c r="I134" s="60">
        <f>IF("generated"=1, "Path=CLM_1, Scaled Offset=7505.1599999999998544808477163314819", 7505.15999999999)</f>
        <v>7505.1599999999899</v>
      </c>
      <c r="J134" t="s">
        <v>97</v>
      </c>
    </row>
    <row r="135" spans="1:10" x14ac:dyDescent="0.25">
      <c r="A135" s="53" t="s">
        <v>26</v>
      </c>
      <c r="B135">
        <v>11128</v>
      </c>
      <c r="C135" t="s">
        <v>228</v>
      </c>
      <c r="D135" t="s">
        <v>47</v>
      </c>
      <c r="E135" t="s">
        <v>101</v>
      </c>
      <c r="G135" s="37">
        <v>7508.16</v>
      </c>
      <c r="H135" s="37">
        <f t="shared" si="1"/>
        <v>7508.16</v>
      </c>
      <c r="I135" s="60">
        <f>IF("generated"=1, "Path=CLM_1, Scaled Offset=7508.1599999999998544808477163314819", 7508.15999999999)</f>
        <v>7508.1599999999899</v>
      </c>
      <c r="J135" t="s">
        <v>97</v>
      </c>
    </row>
    <row r="136" spans="1:10" x14ac:dyDescent="0.25">
      <c r="A136" s="53" t="s">
        <v>26</v>
      </c>
      <c r="B136">
        <v>11129</v>
      </c>
      <c r="C136" t="s">
        <v>229</v>
      </c>
      <c r="D136" t="s">
        <v>47</v>
      </c>
      <c r="E136" t="s">
        <v>101</v>
      </c>
      <c r="G136" s="37">
        <v>7528.08</v>
      </c>
      <c r="H136" s="37">
        <f t="shared" si="1"/>
        <v>7528.08</v>
      </c>
      <c r="I136" s="60">
        <f>IF("generated"=1, "Path=CLM_1, Scaled Offset=7528.079999999999927240423858165741", 7528.07999999999)</f>
        <v>7528.0799999999899</v>
      </c>
      <c r="J136" t="s">
        <v>97</v>
      </c>
    </row>
    <row r="137" spans="1:10" x14ac:dyDescent="0.25">
      <c r="A137" s="53" t="s">
        <v>26</v>
      </c>
      <c r="B137">
        <v>11130</v>
      </c>
      <c r="C137" t="s">
        <v>230</v>
      </c>
      <c r="D137" t="s">
        <v>47</v>
      </c>
      <c r="E137" t="s">
        <v>101</v>
      </c>
      <c r="G137" s="37">
        <v>7531.08</v>
      </c>
      <c r="H137" s="37">
        <f t="shared" ref="H137:H200" si="2">G137</f>
        <v>7531.08</v>
      </c>
      <c r="I137" s="60">
        <f>IF("generated"=1, "Path=CLM_1, Scaled Offset=7531.079999999999927240423858165741", 7531.07999999999)</f>
        <v>7531.0799999999899</v>
      </c>
      <c r="J137" t="s">
        <v>97</v>
      </c>
    </row>
    <row r="138" spans="1:10" x14ac:dyDescent="0.25">
      <c r="A138" s="53" t="s">
        <v>26</v>
      </c>
      <c r="B138">
        <v>11131</v>
      </c>
      <c r="C138" t="s">
        <v>231</v>
      </c>
      <c r="D138" t="s">
        <v>47</v>
      </c>
      <c r="E138" t="s">
        <v>101</v>
      </c>
      <c r="G138" s="37">
        <v>7589.1</v>
      </c>
      <c r="H138" s="37">
        <f t="shared" si="2"/>
        <v>7589.1</v>
      </c>
      <c r="I138" s="60">
        <f>IF("generated"=1, "Path=CLM_1, Scaled Offset=7589.1000000000003637978807091712952", 7589.1)</f>
        <v>7589.1</v>
      </c>
      <c r="J138" t="s">
        <v>97</v>
      </c>
    </row>
    <row r="139" spans="1:10" x14ac:dyDescent="0.25">
      <c r="A139" s="53" t="s">
        <v>26</v>
      </c>
      <c r="B139">
        <v>11132</v>
      </c>
      <c r="C139" t="s">
        <v>232</v>
      </c>
      <c r="D139" t="s">
        <v>47</v>
      </c>
      <c r="E139" t="s">
        <v>101</v>
      </c>
      <c r="G139" s="37">
        <v>7624.2</v>
      </c>
      <c r="H139" s="37">
        <f t="shared" si="2"/>
        <v>7624.2</v>
      </c>
      <c r="I139" s="60">
        <f>IF("generated"=1, "Path=CLM_1, Scaled Offset=7624.1999999999998181010596454143524", 7624.19999999999)</f>
        <v>7624.1999999999898</v>
      </c>
      <c r="J139" t="s">
        <v>97</v>
      </c>
    </row>
    <row r="140" spans="1:10" x14ac:dyDescent="0.25">
      <c r="A140" s="53" t="s">
        <v>26</v>
      </c>
      <c r="B140">
        <v>11133</v>
      </c>
      <c r="C140" t="s">
        <v>233</v>
      </c>
      <c r="D140" t="s">
        <v>47</v>
      </c>
      <c r="E140" t="s">
        <v>101</v>
      </c>
      <c r="G140" s="37">
        <v>7627.2</v>
      </c>
      <c r="H140" s="37">
        <f t="shared" si="2"/>
        <v>7627.2</v>
      </c>
      <c r="I140" s="60">
        <f>IF("generated"=1, "Path=CLM_1, Scaled Offset=7627.1999999999998181010596454143524", 7627.19999999999)</f>
        <v>7627.1999999999898</v>
      </c>
      <c r="J140" t="s">
        <v>97</v>
      </c>
    </row>
    <row r="141" spans="1:10" x14ac:dyDescent="0.25">
      <c r="A141" s="53" t="s">
        <v>26</v>
      </c>
      <c r="B141">
        <v>11134</v>
      </c>
      <c r="C141" t="s">
        <v>234</v>
      </c>
      <c r="D141" t="s">
        <v>47</v>
      </c>
      <c r="E141" t="s">
        <v>101</v>
      </c>
      <c r="G141" s="37">
        <v>7647.12</v>
      </c>
      <c r="H141" s="37">
        <f t="shared" si="2"/>
        <v>7647.12</v>
      </c>
      <c r="I141" s="60">
        <f>IF("generated"=1, "Path=CLM_1, Scaled Offset=7647.1199999999998908606357872486115", 7647.11999999999)</f>
        <v>7647.1199999999899</v>
      </c>
      <c r="J141" t="s">
        <v>97</v>
      </c>
    </row>
    <row r="142" spans="1:10" x14ac:dyDescent="0.25">
      <c r="A142" s="53" t="s">
        <v>26</v>
      </c>
      <c r="B142">
        <v>11135</v>
      </c>
      <c r="C142" t="s">
        <v>235</v>
      </c>
      <c r="D142" t="s">
        <v>47</v>
      </c>
      <c r="E142" t="s">
        <v>101</v>
      </c>
      <c r="G142" s="37">
        <v>7650.12</v>
      </c>
      <c r="H142" s="37">
        <f t="shared" si="2"/>
        <v>7650.12</v>
      </c>
      <c r="I142" s="60">
        <f>IF("generated"=1, "Path=CLM_1, Scaled Offset=7650.1199999999998908606357872486115", 7650.11999999999)</f>
        <v>7650.1199999999899</v>
      </c>
      <c r="J142" t="s">
        <v>97</v>
      </c>
    </row>
    <row r="143" spans="1:10" x14ac:dyDescent="0.25">
      <c r="A143" s="53" t="s">
        <v>26</v>
      </c>
      <c r="B143">
        <v>11136</v>
      </c>
      <c r="C143" t="s">
        <v>236</v>
      </c>
      <c r="D143" t="s">
        <v>47</v>
      </c>
      <c r="E143" t="s">
        <v>101</v>
      </c>
      <c r="G143" s="37">
        <v>7702.54</v>
      </c>
      <c r="H143" s="37">
        <f t="shared" si="2"/>
        <v>7702.54</v>
      </c>
      <c r="I143" s="60">
        <f>IF("generated"=1, "Path=CLM_1, Scaled Offset=7702.5399999999999636202119290828705", 7702.53999999999)</f>
        <v>7702.53999999999</v>
      </c>
      <c r="J143" t="s">
        <v>97</v>
      </c>
    </row>
    <row r="144" spans="1:10" x14ac:dyDescent="0.25">
      <c r="A144" s="53" t="s">
        <v>26</v>
      </c>
      <c r="B144">
        <v>11137</v>
      </c>
      <c r="C144" t="s">
        <v>237</v>
      </c>
      <c r="D144" t="s">
        <v>47</v>
      </c>
      <c r="E144" t="s">
        <v>101</v>
      </c>
      <c r="G144" s="37">
        <v>7783</v>
      </c>
      <c r="H144" s="37">
        <f t="shared" si="2"/>
        <v>7783</v>
      </c>
      <c r="I144" s="60">
        <f>IF("generated"=1, "Path=CLM_1, Scaled Offset=7783", 7783)</f>
        <v>7783</v>
      </c>
      <c r="J144" t="s">
        <v>97</v>
      </c>
    </row>
    <row r="145" spans="1:10" x14ac:dyDescent="0.25">
      <c r="A145" s="53" t="s">
        <v>26</v>
      </c>
      <c r="B145">
        <v>11138</v>
      </c>
      <c r="C145" t="s">
        <v>238</v>
      </c>
      <c r="D145" t="s">
        <v>47</v>
      </c>
      <c r="E145" t="s">
        <v>101</v>
      </c>
      <c r="G145" s="37">
        <v>7804</v>
      </c>
      <c r="H145" s="37">
        <f t="shared" si="2"/>
        <v>7804</v>
      </c>
      <c r="I145" s="60">
        <f>IF("generated"=1, "Path=CLM_1, Scaled Offset=7804", 7804)</f>
        <v>7804</v>
      </c>
      <c r="J145" t="s">
        <v>97</v>
      </c>
    </row>
    <row r="146" spans="1:10" x14ac:dyDescent="0.25">
      <c r="A146" s="53" t="s">
        <v>26</v>
      </c>
      <c r="B146">
        <v>11139</v>
      </c>
      <c r="C146" t="s">
        <v>239</v>
      </c>
      <c r="D146" t="s">
        <v>47</v>
      </c>
      <c r="E146" t="s">
        <v>101</v>
      </c>
      <c r="G146" s="37">
        <v>7864.65</v>
      </c>
      <c r="H146" s="37">
        <f t="shared" si="2"/>
        <v>7864.65</v>
      </c>
      <c r="I146" s="60">
        <f>IF("generated"=1, "Path=CLM_1, Scaled Offset=7864.6499999999996362021192908287048", 7864.64999999999)</f>
        <v>7864.6499999999896</v>
      </c>
      <c r="J146" t="s">
        <v>97</v>
      </c>
    </row>
    <row r="147" spans="1:10" x14ac:dyDescent="0.25">
      <c r="A147" s="53" t="s">
        <v>26</v>
      </c>
      <c r="B147">
        <v>11140</v>
      </c>
      <c r="C147" t="s">
        <v>240</v>
      </c>
      <c r="D147" t="s">
        <v>47</v>
      </c>
      <c r="E147" t="s">
        <v>101</v>
      </c>
      <c r="G147" s="37">
        <v>7908.23</v>
      </c>
      <c r="H147" s="37">
        <f t="shared" si="2"/>
        <v>7908.23</v>
      </c>
      <c r="I147" s="60">
        <f>IF("generated"=1, "Path=CLM_1, Scaled Offset=7908.2299999999995634425431489944458", 7908.22999999999)</f>
        <v>7908.2299999999896</v>
      </c>
      <c r="J147" t="s">
        <v>97</v>
      </c>
    </row>
    <row r="148" spans="1:10" x14ac:dyDescent="0.25">
      <c r="A148" s="53" t="s">
        <v>26</v>
      </c>
      <c r="B148">
        <v>11141</v>
      </c>
      <c r="C148" t="s">
        <v>241</v>
      </c>
      <c r="D148" t="s">
        <v>47</v>
      </c>
      <c r="E148" t="s">
        <v>101</v>
      </c>
      <c r="G148" s="37">
        <v>7963.63</v>
      </c>
      <c r="H148" s="37">
        <f t="shared" si="2"/>
        <v>7963.63</v>
      </c>
      <c r="I148" s="60">
        <f>IF("generated"=1, "Path=CLM_1, Scaled Offset=7963.6300000000001091393642127513885", 7963.63)</f>
        <v>7963.63</v>
      </c>
      <c r="J148" t="s">
        <v>97</v>
      </c>
    </row>
    <row r="149" spans="1:10" x14ac:dyDescent="0.25">
      <c r="A149" s="53" t="s">
        <v>26</v>
      </c>
      <c r="B149">
        <v>11142</v>
      </c>
      <c r="C149" t="s">
        <v>242</v>
      </c>
      <c r="D149" t="s">
        <v>47</v>
      </c>
      <c r="E149" t="s">
        <v>101</v>
      </c>
      <c r="G149" s="37">
        <v>8066</v>
      </c>
      <c r="H149" s="37">
        <f t="shared" si="2"/>
        <v>8066</v>
      </c>
      <c r="I149" s="60">
        <f>IF("generated"=1, "Path=CLM_1, Scaled Offset=8066", 8066)</f>
        <v>8066</v>
      </c>
      <c r="J149" t="s">
        <v>97</v>
      </c>
    </row>
    <row r="150" spans="1:10" x14ac:dyDescent="0.25">
      <c r="A150" s="53" t="s">
        <v>26</v>
      </c>
      <c r="B150">
        <v>11143</v>
      </c>
      <c r="C150" t="s">
        <v>243</v>
      </c>
      <c r="D150" t="s">
        <v>47</v>
      </c>
      <c r="E150" t="s">
        <v>101</v>
      </c>
      <c r="G150" s="37">
        <v>8186</v>
      </c>
      <c r="H150" s="37">
        <f t="shared" si="2"/>
        <v>8186</v>
      </c>
      <c r="I150" s="60">
        <f>IF("generated"=1, "Path=CLM_1, Scaled Offset=8186", 8186)</f>
        <v>8186</v>
      </c>
      <c r="J150" t="s">
        <v>97</v>
      </c>
    </row>
    <row r="151" spans="1:10" x14ac:dyDescent="0.25">
      <c r="A151" s="53" t="s">
        <v>26</v>
      </c>
      <c r="B151">
        <v>11144</v>
      </c>
      <c r="C151" t="s">
        <v>244</v>
      </c>
      <c r="D151" t="s">
        <v>47</v>
      </c>
      <c r="E151" t="s">
        <v>101</v>
      </c>
      <c r="G151" s="37">
        <v>8207</v>
      </c>
      <c r="H151" s="37">
        <f t="shared" si="2"/>
        <v>8207</v>
      </c>
      <c r="I151" s="60">
        <f>IF("generated"=1, "Path=CLM_1, Scaled Offset=8207", 8207)</f>
        <v>8207</v>
      </c>
      <c r="J151" t="s">
        <v>97</v>
      </c>
    </row>
    <row r="152" spans="1:10" x14ac:dyDescent="0.25">
      <c r="A152" s="53" t="s">
        <v>26</v>
      </c>
      <c r="B152">
        <v>11145</v>
      </c>
      <c r="C152" t="s">
        <v>245</v>
      </c>
      <c r="D152" t="s">
        <v>47</v>
      </c>
      <c r="E152" t="s">
        <v>101</v>
      </c>
      <c r="G152" s="37">
        <v>8339.9599999999991</v>
      </c>
      <c r="H152" s="37">
        <f t="shared" si="2"/>
        <v>8339.9599999999991</v>
      </c>
      <c r="I152" s="60">
        <f>IF("generated"=1, "Path=CLM_1, Scaled Offset=8339.9599999999991268850862979888916", 8339.95999999999)</f>
        <v>8339.95999999999</v>
      </c>
      <c r="J152" t="s">
        <v>97</v>
      </c>
    </row>
    <row r="153" spans="1:10" x14ac:dyDescent="0.25">
      <c r="A153" s="53" t="s">
        <v>26</v>
      </c>
      <c r="B153">
        <v>11146</v>
      </c>
      <c r="C153" t="s">
        <v>246</v>
      </c>
      <c r="D153" t="s">
        <v>47</v>
      </c>
      <c r="E153" t="s">
        <v>101</v>
      </c>
      <c r="G153" s="37">
        <v>8416.02</v>
      </c>
      <c r="H153" s="37">
        <f t="shared" si="2"/>
        <v>8416.02</v>
      </c>
      <c r="I153" s="60">
        <f>IF("generated"=1, "Path=CLM_1, Scaled Offset=8416.0200000000004365574568510055542", 8416.02)</f>
        <v>8416.02</v>
      </c>
      <c r="J153" t="s">
        <v>97</v>
      </c>
    </row>
    <row r="154" spans="1:10" x14ac:dyDescent="0.25">
      <c r="A154" s="53" t="s">
        <v>26</v>
      </c>
      <c r="B154">
        <v>11147</v>
      </c>
      <c r="C154" t="s">
        <v>247</v>
      </c>
      <c r="D154" t="s">
        <v>47</v>
      </c>
      <c r="E154" t="s">
        <v>101</v>
      </c>
      <c r="G154" s="37">
        <v>8430.8799999999992</v>
      </c>
      <c r="H154" s="37">
        <f t="shared" si="2"/>
        <v>8430.8799999999992</v>
      </c>
      <c r="I154" s="60">
        <f>IF("generated"=1, "Path=CLM_1, Scaled Offset=8430.8799999999991996446624398231506", 8430.87999999999)</f>
        <v>8430.8799999999901</v>
      </c>
      <c r="J154" t="s">
        <v>97</v>
      </c>
    </row>
    <row r="155" spans="1:10" x14ac:dyDescent="0.25">
      <c r="A155" s="53" t="s">
        <v>26</v>
      </c>
      <c r="B155">
        <v>11148</v>
      </c>
      <c r="C155" t="s">
        <v>248</v>
      </c>
      <c r="D155" t="s">
        <v>47</v>
      </c>
      <c r="E155" t="s">
        <v>101</v>
      </c>
      <c r="G155" s="37">
        <v>8433.8799999999992</v>
      </c>
      <c r="H155" s="37">
        <f t="shared" si="2"/>
        <v>8433.8799999999992</v>
      </c>
      <c r="I155" s="60">
        <f>IF("generated"=1, "Path=CLM_1, Scaled Offset=8433.8799999999991996446624398231506", 8433.87999999999)</f>
        <v>8433.8799999999901</v>
      </c>
      <c r="J155" t="s">
        <v>97</v>
      </c>
    </row>
    <row r="156" spans="1:10" x14ac:dyDescent="0.25">
      <c r="A156" s="53" t="s">
        <v>26</v>
      </c>
      <c r="B156">
        <v>11149</v>
      </c>
      <c r="C156" t="s">
        <v>249</v>
      </c>
      <c r="D156" t="s">
        <v>47</v>
      </c>
      <c r="E156" t="s">
        <v>101</v>
      </c>
      <c r="G156" s="37">
        <v>8453.7999999999993</v>
      </c>
      <c r="H156" s="37">
        <f t="shared" si="2"/>
        <v>8453.7999999999993</v>
      </c>
      <c r="I156" s="60">
        <f>IF("generated"=1, "Path=CLM_1, Scaled Offset=8453.7999999999992724042385816574097", 8453.79999999999)</f>
        <v>8453.7999999999902</v>
      </c>
      <c r="J156" t="s">
        <v>97</v>
      </c>
    </row>
    <row r="157" spans="1:10" x14ac:dyDescent="0.25">
      <c r="A157" s="53" t="s">
        <v>26</v>
      </c>
      <c r="B157">
        <v>11150</v>
      </c>
      <c r="C157" t="s">
        <v>250</v>
      </c>
      <c r="D157" t="s">
        <v>47</v>
      </c>
      <c r="E157" t="s">
        <v>101</v>
      </c>
      <c r="G157" s="37">
        <v>8456.7999999999993</v>
      </c>
      <c r="H157" s="37">
        <f t="shared" si="2"/>
        <v>8456.7999999999993</v>
      </c>
      <c r="I157" s="60">
        <f>IF("generated"=1, "Path=CLM_1, Scaled Offset=8456.7999999999992724042385816574097", 8456.79999999999)</f>
        <v>8456.7999999999902</v>
      </c>
      <c r="J157" t="s">
        <v>97</v>
      </c>
    </row>
    <row r="158" spans="1:10" x14ac:dyDescent="0.25">
      <c r="A158" s="53" t="s">
        <v>26</v>
      </c>
      <c r="B158">
        <v>11151</v>
      </c>
      <c r="C158" t="s">
        <v>251</v>
      </c>
      <c r="D158" t="s">
        <v>47</v>
      </c>
      <c r="E158" t="s">
        <v>101</v>
      </c>
      <c r="G158" s="37">
        <v>8514.82</v>
      </c>
      <c r="H158" s="37">
        <f t="shared" si="2"/>
        <v>8514.82</v>
      </c>
      <c r="I158" s="60">
        <f>IF("generated"=1, "Path=CLM_1, Scaled Offset=8514.8199999999997089616954326629639", 8514.81999999999)</f>
        <v>8514.8199999999906</v>
      </c>
      <c r="J158" t="s">
        <v>97</v>
      </c>
    </row>
    <row r="159" spans="1:10" x14ac:dyDescent="0.25">
      <c r="A159" s="53" t="s">
        <v>26</v>
      </c>
      <c r="B159">
        <v>11152</v>
      </c>
      <c r="C159" t="s">
        <v>252</v>
      </c>
      <c r="D159" t="s">
        <v>47</v>
      </c>
      <c r="E159" t="s">
        <v>101</v>
      </c>
      <c r="G159" s="37">
        <v>8549.92</v>
      </c>
      <c r="H159" s="37">
        <f t="shared" si="2"/>
        <v>8549.92</v>
      </c>
      <c r="I159" s="60">
        <f>IF("generated"=1, "Path=CLM_1, Scaled Offset=8549.920000000000072759576141834259", 8549.92)</f>
        <v>8549.92</v>
      </c>
      <c r="J159" t="s">
        <v>97</v>
      </c>
    </row>
    <row r="160" spans="1:10" x14ac:dyDescent="0.25">
      <c r="A160" s="53" t="s">
        <v>26</v>
      </c>
      <c r="B160">
        <v>11153</v>
      </c>
      <c r="C160" t="s">
        <v>253</v>
      </c>
      <c r="D160" t="s">
        <v>47</v>
      </c>
      <c r="E160" t="s">
        <v>101</v>
      </c>
      <c r="G160" s="37">
        <v>8552.92</v>
      </c>
      <c r="H160" s="37">
        <f t="shared" si="2"/>
        <v>8552.92</v>
      </c>
      <c r="I160" s="60">
        <f>IF("generated"=1, "Path=CLM_1, Scaled Offset=8552.920000000000072759576141834259", 8552.92)</f>
        <v>8552.92</v>
      </c>
      <c r="J160" t="s">
        <v>97</v>
      </c>
    </row>
    <row r="161" spans="1:10" x14ac:dyDescent="0.25">
      <c r="A161" s="53" t="s">
        <v>26</v>
      </c>
      <c r="B161">
        <v>11154</v>
      </c>
      <c r="C161" t="s">
        <v>254</v>
      </c>
      <c r="D161" t="s">
        <v>47</v>
      </c>
      <c r="E161" t="s">
        <v>101</v>
      </c>
      <c r="G161" s="37">
        <v>8572.84</v>
      </c>
      <c r="H161" s="37">
        <f t="shared" si="2"/>
        <v>8572.84</v>
      </c>
      <c r="I161" s="60">
        <f>IF("generated"=1, "Path=CLM_1, Scaled Offset=8572.8400000000001455191522836685181", 8572.84)</f>
        <v>8572.84</v>
      </c>
      <c r="J161" t="s">
        <v>97</v>
      </c>
    </row>
    <row r="162" spans="1:10" x14ac:dyDescent="0.25">
      <c r="A162" s="53" t="s">
        <v>26</v>
      </c>
      <c r="B162">
        <v>11155</v>
      </c>
      <c r="C162" t="s">
        <v>255</v>
      </c>
      <c r="D162" t="s">
        <v>47</v>
      </c>
      <c r="E162" t="s">
        <v>101</v>
      </c>
      <c r="G162" s="37">
        <v>8575.84</v>
      </c>
      <c r="H162" s="37">
        <f t="shared" si="2"/>
        <v>8575.84</v>
      </c>
      <c r="I162" s="60">
        <f>IF("generated"=1, "Path=CLM_1, Scaled Offset=8575.8400000000001455191522836685181", 8575.84)</f>
        <v>8575.84</v>
      </c>
      <c r="J162" t="s">
        <v>97</v>
      </c>
    </row>
    <row r="163" spans="1:10" x14ac:dyDescent="0.25">
      <c r="A163" s="53" t="s">
        <v>26</v>
      </c>
      <c r="B163">
        <v>11156</v>
      </c>
      <c r="C163" t="s">
        <v>256</v>
      </c>
      <c r="D163" t="s">
        <v>47</v>
      </c>
      <c r="E163" t="s">
        <v>101</v>
      </c>
      <c r="G163" s="37">
        <v>8648</v>
      </c>
      <c r="H163" s="37">
        <f t="shared" si="2"/>
        <v>8648</v>
      </c>
      <c r="I163" s="60">
        <f>IF("generated"=1, "Path=CLM_1, Scaled Offset=8648", 8648)</f>
        <v>8648</v>
      </c>
      <c r="J163" t="s">
        <v>97</v>
      </c>
    </row>
    <row r="164" spans="1:10" x14ac:dyDescent="0.25">
      <c r="A164" s="53" t="s">
        <v>26</v>
      </c>
      <c r="B164">
        <v>11157</v>
      </c>
      <c r="C164" t="s">
        <v>257</v>
      </c>
      <c r="D164" t="s">
        <v>47</v>
      </c>
      <c r="E164" t="s">
        <v>101</v>
      </c>
      <c r="G164" s="37">
        <v>8669</v>
      </c>
      <c r="H164" s="37">
        <f t="shared" si="2"/>
        <v>8669</v>
      </c>
      <c r="I164" s="60">
        <f>IF("generated"=1, "Path=CLM_1, Scaled Offset=8669", 8669)</f>
        <v>8669</v>
      </c>
      <c r="J164" t="s">
        <v>97</v>
      </c>
    </row>
    <row r="165" spans="1:10" x14ac:dyDescent="0.25">
      <c r="A165" s="53" t="s">
        <v>26</v>
      </c>
      <c r="B165">
        <v>11158</v>
      </c>
      <c r="C165" t="s">
        <v>258</v>
      </c>
      <c r="D165" t="s">
        <v>47</v>
      </c>
      <c r="E165" t="s">
        <v>101</v>
      </c>
      <c r="G165" s="37">
        <v>8690</v>
      </c>
      <c r="H165" s="37">
        <f t="shared" si="2"/>
        <v>8690</v>
      </c>
      <c r="I165" s="60">
        <f>IF("generated"=1, "Path=CLM_1, Scaled Offset=8690", 8690)</f>
        <v>8690</v>
      </c>
      <c r="J165" t="s">
        <v>97</v>
      </c>
    </row>
    <row r="166" spans="1:10" x14ac:dyDescent="0.25">
      <c r="A166" s="53" t="s">
        <v>26</v>
      </c>
      <c r="B166">
        <v>11159</v>
      </c>
      <c r="C166" t="s">
        <v>259</v>
      </c>
      <c r="D166" t="s">
        <v>47</v>
      </c>
      <c r="E166" t="s">
        <v>101</v>
      </c>
      <c r="G166" s="37">
        <v>8751.84</v>
      </c>
      <c r="H166" s="37">
        <f t="shared" si="2"/>
        <v>8751.84</v>
      </c>
      <c r="I166" s="60">
        <f>IF("generated"=1, "Path=CLM_1, Scaled Offset=8751.8400000000001455191522836685181", 8751.84)</f>
        <v>8751.84</v>
      </c>
      <c r="J166" t="s">
        <v>97</v>
      </c>
    </row>
    <row r="167" spans="1:10" x14ac:dyDescent="0.25">
      <c r="A167" s="53" t="s">
        <v>26</v>
      </c>
      <c r="B167">
        <v>11160</v>
      </c>
      <c r="C167" t="s">
        <v>260</v>
      </c>
      <c r="D167" t="s">
        <v>47</v>
      </c>
      <c r="E167" t="s">
        <v>101</v>
      </c>
      <c r="G167" s="37">
        <v>8778.16</v>
      </c>
      <c r="H167" s="37">
        <f t="shared" si="2"/>
        <v>8778.16</v>
      </c>
      <c r="I167" s="60">
        <f>IF("generated"=1, "Path=CLM_1, Scaled Offset=8778.1599999999998544808477163314819", 8778.15999999999)</f>
        <v>8778.1599999999908</v>
      </c>
      <c r="J167" t="s">
        <v>97</v>
      </c>
    </row>
    <row r="168" spans="1:10" x14ac:dyDescent="0.25">
      <c r="A168" s="53" t="s">
        <v>26</v>
      </c>
      <c r="B168">
        <v>11161</v>
      </c>
      <c r="C168" t="s">
        <v>261</v>
      </c>
      <c r="D168" t="s">
        <v>47</v>
      </c>
      <c r="E168" t="s">
        <v>101</v>
      </c>
      <c r="G168" s="37">
        <v>8828.19</v>
      </c>
      <c r="H168" s="37">
        <f t="shared" si="2"/>
        <v>8828.19</v>
      </c>
      <c r="I168" s="60">
        <f>IF("generated"=1, "Path=CLM_1, Scaled Offset=8828.1900000000005093170329928398132", 8828.19)</f>
        <v>8828.19</v>
      </c>
      <c r="J168" t="s">
        <v>97</v>
      </c>
    </row>
    <row r="169" spans="1:10" x14ac:dyDescent="0.25">
      <c r="A169" s="53" t="s">
        <v>26</v>
      </c>
      <c r="B169">
        <v>11162</v>
      </c>
      <c r="C169" t="s">
        <v>262</v>
      </c>
      <c r="D169" t="s">
        <v>47</v>
      </c>
      <c r="E169" t="s">
        <v>101</v>
      </c>
      <c r="G169" s="37">
        <v>8874.16</v>
      </c>
      <c r="H169" s="37">
        <f t="shared" si="2"/>
        <v>8874.16</v>
      </c>
      <c r="I169" s="60">
        <f>IF("generated"=1, "Path=CLM_1, Scaled Offset=8874.1599999999998544808477163314819", 8874.15999999999)</f>
        <v>8874.1599999999908</v>
      </c>
      <c r="J169" t="s">
        <v>97</v>
      </c>
    </row>
    <row r="170" spans="1:10" x14ac:dyDescent="0.25">
      <c r="A170" s="53" t="s">
        <v>26</v>
      </c>
      <c r="B170">
        <v>11163</v>
      </c>
      <c r="C170" t="s">
        <v>263</v>
      </c>
      <c r="D170" t="s">
        <v>47</v>
      </c>
      <c r="E170" t="s">
        <v>101</v>
      </c>
      <c r="G170" s="37">
        <v>8970.15</v>
      </c>
      <c r="H170" s="37">
        <f t="shared" si="2"/>
        <v>8970.15</v>
      </c>
      <c r="I170" s="60">
        <f>IF("generated"=1, "Path=CLM_1, Scaled Offset=8970.1499999999996362021192908287048", 8970.14999999999)</f>
        <v>8970.1499999999905</v>
      </c>
      <c r="J170" t="s">
        <v>97</v>
      </c>
    </row>
    <row r="171" spans="1:10" x14ac:dyDescent="0.25">
      <c r="A171" s="53" t="s">
        <v>26</v>
      </c>
      <c r="B171">
        <v>11164</v>
      </c>
      <c r="C171" t="s">
        <v>264</v>
      </c>
      <c r="D171" t="s">
        <v>47</v>
      </c>
      <c r="E171" t="s">
        <v>101</v>
      </c>
      <c r="G171" s="37">
        <v>8970.15</v>
      </c>
      <c r="H171" s="37">
        <f t="shared" si="2"/>
        <v>8970.15</v>
      </c>
      <c r="I171" s="60">
        <f>IF("generated"=1, "Path=CLM_1, Scaled Offset=8970.1499999999996362021192908287048", 8970.14999999999)</f>
        <v>8970.1499999999905</v>
      </c>
      <c r="J171" t="s">
        <v>97</v>
      </c>
    </row>
    <row r="172" spans="1:10" x14ac:dyDescent="0.25">
      <c r="A172" s="53" t="s">
        <v>26</v>
      </c>
      <c r="B172">
        <v>11165</v>
      </c>
      <c r="C172" t="s">
        <v>265</v>
      </c>
      <c r="D172" t="s">
        <v>47</v>
      </c>
      <c r="E172" t="s">
        <v>101</v>
      </c>
      <c r="G172" s="37">
        <v>9006.0300000000007</v>
      </c>
      <c r="H172" s="37">
        <f t="shared" si="2"/>
        <v>9006.0300000000007</v>
      </c>
      <c r="I172" s="60">
        <f>IF("generated"=1, "Path=CLM_1, Scaled Offset=9006.0300000000006548361852765083313", 9006.03)</f>
        <v>9006.0300000000007</v>
      </c>
      <c r="J172" t="s">
        <v>97</v>
      </c>
    </row>
    <row r="173" spans="1:10" x14ac:dyDescent="0.25">
      <c r="A173" s="53" t="s">
        <v>26</v>
      </c>
      <c r="B173">
        <v>11166</v>
      </c>
      <c r="C173" t="s">
        <v>266</v>
      </c>
      <c r="D173" t="s">
        <v>47</v>
      </c>
      <c r="E173" t="s">
        <v>101</v>
      </c>
      <c r="G173" s="37">
        <v>9072.5300000000007</v>
      </c>
      <c r="H173" s="37">
        <f t="shared" si="2"/>
        <v>9072.5300000000007</v>
      </c>
      <c r="I173" s="60">
        <f>IF("generated"=1, "Path=CLM_1, Scaled Offset=9072.5300000000006548361852765083313", 9072.53)</f>
        <v>9072.5300000000007</v>
      </c>
      <c r="J173" t="s">
        <v>97</v>
      </c>
    </row>
    <row r="174" spans="1:10" x14ac:dyDescent="0.25">
      <c r="A174" s="53" t="s">
        <v>26</v>
      </c>
      <c r="B174">
        <v>11167</v>
      </c>
      <c r="C174" t="s">
        <v>267</v>
      </c>
      <c r="D174" t="s">
        <v>47</v>
      </c>
      <c r="E174" t="s">
        <v>101</v>
      </c>
      <c r="G174" s="37">
        <v>9249.73</v>
      </c>
      <c r="H174" s="37">
        <f t="shared" si="2"/>
        <v>9249.73</v>
      </c>
      <c r="I174" s="60">
        <f>IF("generated"=1, "Path=CLM_1, Scaled Offset=9249.7299999999995634425431489944458", 9249.72999999999)</f>
        <v>9249.7299999999905</v>
      </c>
      <c r="J174" t="s">
        <v>97</v>
      </c>
    </row>
    <row r="175" spans="1:10" x14ac:dyDescent="0.25">
      <c r="A175" s="53" t="s">
        <v>26</v>
      </c>
      <c r="B175">
        <v>11168</v>
      </c>
      <c r="C175" t="s">
        <v>268</v>
      </c>
      <c r="D175" t="s">
        <v>47</v>
      </c>
      <c r="E175" t="s">
        <v>101</v>
      </c>
      <c r="G175" s="37">
        <v>9338.8799999999992</v>
      </c>
      <c r="H175" s="37">
        <f t="shared" si="2"/>
        <v>9338.8799999999992</v>
      </c>
      <c r="I175" s="60">
        <f>IF("generated"=1, "Path=CLM_1, Scaled Offset=9338.8799999999991996446624398231506", 9338.87999999999)</f>
        <v>9338.8799999999901</v>
      </c>
      <c r="J175" t="s">
        <v>97</v>
      </c>
    </row>
    <row r="176" spans="1:10" x14ac:dyDescent="0.25">
      <c r="A176" s="53" t="s">
        <v>26</v>
      </c>
      <c r="B176">
        <v>11169</v>
      </c>
      <c r="C176" t="s">
        <v>269</v>
      </c>
      <c r="D176" t="s">
        <v>47</v>
      </c>
      <c r="E176" t="s">
        <v>101</v>
      </c>
      <c r="G176" s="37">
        <v>9388.86</v>
      </c>
      <c r="H176" s="37">
        <f t="shared" si="2"/>
        <v>9388.86</v>
      </c>
      <c r="I176" s="60">
        <f>IF("generated"=1, "Path=CLM_1, Scaled Offset=9388.8600000000005820766091346740723", 9388.86)</f>
        <v>9388.86</v>
      </c>
      <c r="J176" t="s">
        <v>97</v>
      </c>
    </row>
    <row r="177" spans="1:10" x14ac:dyDescent="0.25">
      <c r="A177" s="53" t="s">
        <v>26</v>
      </c>
      <c r="B177">
        <v>11170</v>
      </c>
      <c r="C177" t="s">
        <v>270</v>
      </c>
      <c r="D177" t="s">
        <v>47</v>
      </c>
      <c r="E177" t="s">
        <v>101</v>
      </c>
      <c r="G177" s="37">
        <v>9409.86</v>
      </c>
      <c r="H177" s="37">
        <f t="shared" si="2"/>
        <v>9409.86</v>
      </c>
      <c r="I177" s="60">
        <f>IF("generated"=1, "Path=CLM_1, Scaled Offset=9409.8600000000005820766091346740723", 9409.86)</f>
        <v>9409.86</v>
      </c>
      <c r="J177" t="s">
        <v>97</v>
      </c>
    </row>
    <row r="178" spans="1:10" x14ac:dyDescent="0.25">
      <c r="A178" s="53" t="s">
        <v>26</v>
      </c>
      <c r="B178">
        <v>11171</v>
      </c>
      <c r="C178" t="s">
        <v>271</v>
      </c>
      <c r="D178" t="s">
        <v>47</v>
      </c>
      <c r="E178" t="s">
        <v>101</v>
      </c>
      <c r="G178" s="37">
        <v>9463.91</v>
      </c>
      <c r="H178" s="37">
        <f t="shared" si="2"/>
        <v>9463.91</v>
      </c>
      <c r="I178" s="60">
        <f>IF("generated"=1, "Path=CLM_1, Scaled Offset=9463.9099999999998544808477163314819", 9463.90999999999)</f>
        <v>9463.9099999999908</v>
      </c>
      <c r="J178" t="s">
        <v>97</v>
      </c>
    </row>
    <row r="179" spans="1:10" x14ac:dyDescent="0.25">
      <c r="A179" s="53" t="s">
        <v>26</v>
      </c>
      <c r="B179">
        <v>11172</v>
      </c>
      <c r="C179" t="s">
        <v>272</v>
      </c>
      <c r="D179" t="s">
        <v>47</v>
      </c>
      <c r="E179" t="s">
        <v>101</v>
      </c>
      <c r="G179" s="37">
        <v>9466.91</v>
      </c>
      <c r="H179" s="37">
        <f t="shared" si="2"/>
        <v>9466.91</v>
      </c>
      <c r="I179" s="60">
        <f>IF("generated"=1, "Path=CLM_1, Scaled Offset=9466.9099999999998544808477163314819", 9466.90999999999)</f>
        <v>9466.9099999999908</v>
      </c>
      <c r="J179" t="s">
        <v>97</v>
      </c>
    </row>
    <row r="180" spans="1:10" x14ac:dyDescent="0.25">
      <c r="A180" s="53" t="s">
        <v>26</v>
      </c>
      <c r="B180">
        <v>11173</v>
      </c>
      <c r="C180" t="s">
        <v>273</v>
      </c>
      <c r="D180" t="s">
        <v>47</v>
      </c>
      <c r="E180" t="s">
        <v>101</v>
      </c>
      <c r="G180" s="37">
        <v>9486.83</v>
      </c>
      <c r="H180" s="37">
        <f t="shared" si="2"/>
        <v>9486.83</v>
      </c>
      <c r="I180" s="60">
        <f>IF("generated"=1, "Path=CLM_1, Scaled Offset=9486.829999999999927240423858165741", 9486.82999999999)</f>
        <v>9486.8299999999908</v>
      </c>
      <c r="J180" t="s">
        <v>97</v>
      </c>
    </row>
    <row r="181" spans="1:10" x14ac:dyDescent="0.25">
      <c r="A181" s="53" t="s">
        <v>26</v>
      </c>
      <c r="B181">
        <v>11174</v>
      </c>
      <c r="C181" t="s">
        <v>274</v>
      </c>
      <c r="D181" t="s">
        <v>47</v>
      </c>
      <c r="E181" t="s">
        <v>101</v>
      </c>
      <c r="G181" s="37">
        <v>9489.83</v>
      </c>
      <c r="H181" s="37">
        <f t="shared" si="2"/>
        <v>9489.83</v>
      </c>
      <c r="I181" s="60">
        <f>IF("generated"=1, "Path=CLM_1, Scaled Offset=9489.829999999999927240423858165741", 9489.82999999999)</f>
        <v>9489.8299999999908</v>
      </c>
      <c r="J181" t="s">
        <v>97</v>
      </c>
    </row>
    <row r="182" spans="1:10" x14ac:dyDescent="0.25">
      <c r="A182" s="53" t="s">
        <v>26</v>
      </c>
      <c r="B182">
        <v>11175</v>
      </c>
      <c r="C182" t="s">
        <v>275</v>
      </c>
      <c r="D182" t="s">
        <v>47</v>
      </c>
      <c r="E182" t="s">
        <v>101</v>
      </c>
      <c r="G182" s="37">
        <v>9547.85</v>
      </c>
      <c r="H182" s="37">
        <f t="shared" si="2"/>
        <v>9547.85</v>
      </c>
      <c r="I182" s="60">
        <f>IF("generated"=1, "Path=CLM_1, Scaled Offset=9547.8500000000003637978807091712952", 9547.85)</f>
        <v>9547.85</v>
      </c>
      <c r="J182" t="s">
        <v>97</v>
      </c>
    </row>
    <row r="183" spans="1:10" x14ac:dyDescent="0.25">
      <c r="A183" s="53" t="s">
        <v>26</v>
      </c>
      <c r="B183">
        <v>11176</v>
      </c>
      <c r="C183" t="s">
        <v>276</v>
      </c>
      <c r="D183" t="s">
        <v>47</v>
      </c>
      <c r="E183" t="s">
        <v>101</v>
      </c>
      <c r="G183" s="37">
        <v>9582.9500000000007</v>
      </c>
      <c r="H183" s="37">
        <f t="shared" si="2"/>
        <v>9582.9500000000007</v>
      </c>
      <c r="I183" s="60">
        <f>IF("generated"=1, "Path=CLM_1, Scaled Offset=9582.9500000000007275957614183425903", 9582.95)</f>
        <v>9582.9500000000007</v>
      </c>
      <c r="J183" t="s">
        <v>97</v>
      </c>
    </row>
    <row r="184" spans="1:10" x14ac:dyDescent="0.25">
      <c r="A184" s="53" t="s">
        <v>26</v>
      </c>
      <c r="B184">
        <v>11177</v>
      </c>
      <c r="C184" t="s">
        <v>277</v>
      </c>
      <c r="D184" t="s">
        <v>47</v>
      </c>
      <c r="E184" t="s">
        <v>101</v>
      </c>
      <c r="G184" s="37">
        <v>9585.9500000000007</v>
      </c>
      <c r="H184" s="37">
        <f t="shared" si="2"/>
        <v>9585.9500000000007</v>
      </c>
      <c r="I184" s="60">
        <f>IF("generated"=1, "Path=CLM_1, Scaled Offset=9585.9500000000007275957614183425903", 9585.95)</f>
        <v>9585.9500000000007</v>
      </c>
      <c r="J184" t="s">
        <v>97</v>
      </c>
    </row>
    <row r="185" spans="1:10" x14ac:dyDescent="0.25">
      <c r="A185" s="53" t="s">
        <v>26</v>
      </c>
      <c r="B185">
        <v>11178</v>
      </c>
      <c r="C185" t="s">
        <v>278</v>
      </c>
      <c r="D185" t="s">
        <v>47</v>
      </c>
      <c r="E185" t="s">
        <v>101</v>
      </c>
      <c r="G185" s="37">
        <v>9605.8700000000008</v>
      </c>
      <c r="H185" s="37">
        <f t="shared" si="2"/>
        <v>9605.8700000000008</v>
      </c>
      <c r="I185" s="60">
        <f>IF("generated"=1, "Path=CLM_1, Scaled Offset=9605.8700000000008003553375601768494", 9605.87)</f>
        <v>9605.8700000000008</v>
      </c>
      <c r="J185" t="s">
        <v>97</v>
      </c>
    </row>
    <row r="186" spans="1:10" x14ac:dyDescent="0.25">
      <c r="A186" s="53" t="s">
        <v>26</v>
      </c>
      <c r="B186">
        <v>11179</v>
      </c>
      <c r="C186" t="s">
        <v>279</v>
      </c>
      <c r="D186" t="s">
        <v>47</v>
      </c>
      <c r="E186" t="s">
        <v>101</v>
      </c>
      <c r="G186" s="37">
        <v>9608.8700000000008</v>
      </c>
      <c r="H186" s="37">
        <f t="shared" si="2"/>
        <v>9608.8700000000008</v>
      </c>
      <c r="I186" s="60">
        <f>IF("generated"=1, "Path=CLM_1, Scaled Offset=9608.8700000000008003553375601768494", 9608.87)</f>
        <v>9608.8700000000008</v>
      </c>
      <c r="J186" t="s">
        <v>97</v>
      </c>
    </row>
    <row r="187" spans="1:10" x14ac:dyDescent="0.25">
      <c r="A187" s="53" t="s">
        <v>26</v>
      </c>
      <c r="B187">
        <v>11180</v>
      </c>
      <c r="C187" t="s">
        <v>280</v>
      </c>
      <c r="D187" t="s">
        <v>47</v>
      </c>
      <c r="E187" t="s">
        <v>101</v>
      </c>
      <c r="G187" s="37">
        <v>9661.2900000000009</v>
      </c>
      <c r="H187" s="37">
        <f t="shared" si="2"/>
        <v>9661.2900000000009</v>
      </c>
      <c r="I187" s="60">
        <f>IF("generated"=1, "Path=CLM_1, Scaled Offset=9661.2900000000008731149137020111084", 9661.29)</f>
        <v>9661.2900000000009</v>
      </c>
      <c r="J187" t="s">
        <v>97</v>
      </c>
    </row>
    <row r="188" spans="1:10" x14ac:dyDescent="0.25">
      <c r="A188" s="53" t="s">
        <v>26</v>
      </c>
      <c r="B188">
        <v>11181</v>
      </c>
      <c r="C188" t="s">
        <v>281</v>
      </c>
      <c r="D188" t="s">
        <v>47</v>
      </c>
      <c r="E188" t="s">
        <v>101</v>
      </c>
      <c r="G188" s="37">
        <v>9742</v>
      </c>
      <c r="H188" s="37">
        <f t="shared" si="2"/>
        <v>9742</v>
      </c>
      <c r="I188" s="60">
        <f>IF("generated"=1, "Path=CLM_1, Scaled Offset=9742", 9742)</f>
        <v>9742</v>
      </c>
      <c r="J188" t="s">
        <v>97</v>
      </c>
    </row>
    <row r="189" spans="1:10" x14ac:dyDescent="0.25">
      <c r="A189" s="53" t="s">
        <v>26</v>
      </c>
      <c r="B189">
        <v>11182</v>
      </c>
      <c r="C189" t="s">
        <v>282</v>
      </c>
      <c r="D189" t="s">
        <v>47</v>
      </c>
      <c r="E189" t="s">
        <v>101</v>
      </c>
      <c r="G189" s="37">
        <v>9763</v>
      </c>
      <c r="H189" s="37">
        <f t="shared" si="2"/>
        <v>9763</v>
      </c>
      <c r="I189" s="60">
        <f>IF("generated"=1, "Path=CLM_1, Scaled Offset=9763", 9763)</f>
        <v>9763</v>
      </c>
      <c r="J189" t="s">
        <v>97</v>
      </c>
    </row>
    <row r="190" spans="1:10" x14ac:dyDescent="0.25">
      <c r="A190" s="53" t="s">
        <v>26</v>
      </c>
      <c r="B190">
        <v>11183</v>
      </c>
      <c r="C190" t="s">
        <v>283</v>
      </c>
      <c r="D190" t="s">
        <v>47</v>
      </c>
      <c r="E190" t="s">
        <v>101</v>
      </c>
      <c r="G190" s="37">
        <v>9883</v>
      </c>
      <c r="H190" s="37">
        <f t="shared" si="2"/>
        <v>9883</v>
      </c>
      <c r="I190" s="60">
        <f>IF("generated"=1, "Path=CLM_1, Scaled Offset=9883", 9883)</f>
        <v>9883</v>
      </c>
      <c r="J190" t="s">
        <v>97</v>
      </c>
    </row>
    <row r="191" spans="1:10" x14ac:dyDescent="0.25">
      <c r="A191" s="53" t="s">
        <v>26</v>
      </c>
      <c r="B191">
        <v>11184</v>
      </c>
      <c r="C191" t="s">
        <v>284</v>
      </c>
      <c r="D191" t="s">
        <v>47</v>
      </c>
      <c r="E191" t="s">
        <v>101</v>
      </c>
      <c r="G191" s="37">
        <v>10083</v>
      </c>
      <c r="H191" s="37">
        <f t="shared" si="2"/>
        <v>10083</v>
      </c>
      <c r="I191" s="60">
        <f>IF("generated"=1, "Path=CLM_1, Scaled Offset=10083", 10083)</f>
        <v>10083</v>
      </c>
      <c r="J191" t="s">
        <v>97</v>
      </c>
    </row>
    <row r="192" spans="1:10" x14ac:dyDescent="0.25">
      <c r="A192" s="53" t="s">
        <v>26</v>
      </c>
      <c r="B192">
        <v>11185</v>
      </c>
      <c r="C192" t="s">
        <v>285</v>
      </c>
      <c r="D192" t="s">
        <v>47</v>
      </c>
      <c r="E192" t="s">
        <v>101</v>
      </c>
      <c r="G192" s="37">
        <v>10233</v>
      </c>
      <c r="H192" s="37">
        <f t="shared" si="2"/>
        <v>10233</v>
      </c>
      <c r="I192" s="60">
        <f>IF("generated"=1, "Path=CLM_1, Scaled Offset=10233", 10233)</f>
        <v>10233</v>
      </c>
      <c r="J192" t="s">
        <v>97</v>
      </c>
    </row>
    <row r="193" spans="1:10" x14ac:dyDescent="0.25">
      <c r="A193" s="53" t="s">
        <v>26</v>
      </c>
      <c r="B193">
        <v>11186</v>
      </c>
      <c r="C193" t="s">
        <v>286</v>
      </c>
      <c r="D193" t="s">
        <v>47</v>
      </c>
      <c r="E193" t="s">
        <v>101</v>
      </c>
      <c r="G193" s="37">
        <v>10383</v>
      </c>
      <c r="H193" s="37">
        <f t="shared" si="2"/>
        <v>10383</v>
      </c>
      <c r="I193" s="60">
        <f>IF("generated"=1, "Path=CLM_1, Scaled Offset=10383", 10383)</f>
        <v>10383</v>
      </c>
      <c r="J193" t="s">
        <v>97</v>
      </c>
    </row>
    <row r="194" spans="1:10" x14ac:dyDescent="0.25">
      <c r="A194" s="53" t="s">
        <v>26</v>
      </c>
      <c r="B194">
        <v>11187</v>
      </c>
      <c r="C194" t="s">
        <v>287</v>
      </c>
      <c r="D194" t="s">
        <v>47</v>
      </c>
      <c r="E194" t="s">
        <v>101</v>
      </c>
      <c r="G194" s="37">
        <v>10527</v>
      </c>
      <c r="H194" s="37">
        <f t="shared" si="2"/>
        <v>10527</v>
      </c>
      <c r="I194" s="60">
        <f>IF("generated"=1, "Path=CLM_1, Scaled Offset=10527", 10527)</f>
        <v>10527</v>
      </c>
      <c r="J194" t="s">
        <v>97</v>
      </c>
    </row>
    <row r="195" spans="1:10" x14ac:dyDescent="0.25">
      <c r="A195" s="53" t="s">
        <v>26</v>
      </c>
      <c r="B195">
        <v>11188</v>
      </c>
      <c r="C195" t="s">
        <v>288</v>
      </c>
      <c r="D195" t="s">
        <v>47</v>
      </c>
      <c r="E195" t="s">
        <v>101</v>
      </c>
      <c r="G195" s="37">
        <v>10647</v>
      </c>
      <c r="H195" s="37">
        <f t="shared" si="2"/>
        <v>10647</v>
      </c>
      <c r="I195" s="60">
        <f>IF("generated"=1, "Path=CLM_1, Scaled Offset=10647", 10647)</f>
        <v>10647</v>
      </c>
      <c r="J195" t="s">
        <v>97</v>
      </c>
    </row>
    <row r="196" spans="1:10" x14ac:dyDescent="0.25">
      <c r="A196" s="53" t="s">
        <v>26</v>
      </c>
      <c r="B196">
        <v>11189</v>
      </c>
      <c r="C196" t="s">
        <v>289</v>
      </c>
      <c r="D196" t="s">
        <v>47</v>
      </c>
      <c r="E196" t="s">
        <v>101</v>
      </c>
      <c r="G196" s="37">
        <v>10668</v>
      </c>
      <c r="H196" s="37">
        <f t="shared" si="2"/>
        <v>10668</v>
      </c>
      <c r="I196" s="60">
        <f>IF("generated"=1, "Path=CLM_1, Scaled Offset=10668", 10668)</f>
        <v>10668</v>
      </c>
      <c r="J196" t="s">
        <v>97</v>
      </c>
    </row>
    <row r="197" spans="1:10" x14ac:dyDescent="0.25">
      <c r="A197" s="53" t="s">
        <v>26</v>
      </c>
      <c r="B197">
        <v>11190</v>
      </c>
      <c r="C197" t="s">
        <v>290</v>
      </c>
      <c r="D197" t="s">
        <v>47</v>
      </c>
      <c r="E197" t="s">
        <v>101</v>
      </c>
      <c r="G197" s="37">
        <v>10762.97</v>
      </c>
      <c r="H197" s="37">
        <f t="shared" si="2"/>
        <v>10762.97</v>
      </c>
      <c r="I197" s="60">
        <f>IF("generated"=1, "Path=CLM_1, Scaled Offset=10762.969999999999345163814723491669", 10762.9699999999)</f>
        <v>10762.969999999899</v>
      </c>
      <c r="J197" t="s">
        <v>97</v>
      </c>
    </row>
    <row r="198" spans="1:10" x14ac:dyDescent="0.25">
      <c r="A198" s="53" t="s">
        <v>26</v>
      </c>
      <c r="B198">
        <v>11191</v>
      </c>
      <c r="C198" t="s">
        <v>291</v>
      </c>
      <c r="D198" t="s">
        <v>47</v>
      </c>
      <c r="E198" t="s">
        <v>101</v>
      </c>
      <c r="G198" s="37">
        <v>10777.83</v>
      </c>
      <c r="H198" s="37">
        <f t="shared" si="2"/>
        <v>10777.83</v>
      </c>
      <c r="I198" s="60">
        <f>IF("generated"=1, "Path=CLM_1, Scaled Offset=10777.829999999999927240423858165741", 10777.8299999999)</f>
        <v>10777.8299999999</v>
      </c>
      <c r="J198" t="s">
        <v>97</v>
      </c>
    </row>
    <row r="199" spans="1:10" x14ac:dyDescent="0.25">
      <c r="A199" s="53" t="s">
        <v>26</v>
      </c>
      <c r="B199">
        <v>11192</v>
      </c>
      <c r="C199" t="s">
        <v>292</v>
      </c>
      <c r="D199" t="s">
        <v>47</v>
      </c>
      <c r="E199" t="s">
        <v>101</v>
      </c>
      <c r="G199" s="37">
        <v>10780.83</v>
      </c>
      <c r="H199" s="37">
        <f t="shared" si="2"/>
        <v>10780.83</v>
      </c>
      <c r="I199" s="60">
        <f>IF("generated"=1, "Path=CLM_1, Scaled Offset=10780.829999999999927240423858165741", 10780.8299999999)</f>
        <v>10780.8299999999</v>
      </c>
      <c r="J199" t="s">
        <v>97</v>
      </c>
    </row>
    <row r="200" spans="1:10" x14ac:dyDescent="0.25">
      <c r="A200" s="53" t="s">
        <v>26</v>
      </c>
      <c r="B200">
        <v>11193</v>
      </c>
      <c r="C200" t="s">
        <v>293</v>
      </c>
      <c r="D200" t="s">
        <v>47</v>
      </c>
      <c r="E200" t="s">
        <v>101</v>
      </c>
      <c r="G200" s="37">
        <v>10800.74</v>
      </c>
      <c r="H200" s="37">
        <f t="shared" si="2"/>
        <v>10800.74</v>
      </c>
      <c r="I200" s="60">
        <f>IF("generated"=1, "Path=CLM_1, Scaled Offset=10800.739999999999781721271574497223", 10800.7399999999)</f>
        <v>10800.7399999999</v>
      </c>
      <c r="J200" t="s">
        <v>97</v>
      </c>
    </row>
    <row r="201" spans="1:10" x14ac:dyDescent="0.25">
      <c r="A201" s="53" t="s">
        <v>26</v>
      </c>
      <c r="B201">
        <v>11194</v>
      </c>
      <c r="C201" t="s">
        <v>294</v>
      </c>
      <c r="D201" t="s">
        <v>47</v>
      </c>
      <c r="E201" t="s">
        <v>101</v>
      </c>
      <c r="G201" s="37">
        <v>10803.74</v>
      </c>
      <c r="H201" s="37">
        <f t="shared" ref="H201:H264" si="3">G201</f>
        <v>10803.74</v>
      </c>
      <c r="I201" s="60">
        <f>IF("generated"=1, "Path=CLM_1, Scaled Offset=10803.739999999999781721271574497223", 10803.7399999999)</f>
        <v>10803.7399999999</v>
      </c>
      <c r="J201" t="s">
        <v>97</v>
      </c>
    </row>
    <row r="202" spans="1:10" x14ac:dyDescent="0.25">
      <c r="A202" s="53" t="s">
        <v>26</v>
      </c>
      <c r="B202">
        <v>11195</v>
      </c>
      <c r="C202" t="s">
        <v>295</v>
      </c>
      <c r="D202" t="s">
        <v>47</v>
      </c>
      <c r="E202" t="s">
        <v>101</v>
      </c>
      <c r="G202" s="37">
        <v>10861.77</v>
      </c>
      <c r="H202" s="37">
        <f t="shared" si="3"/>
        <v>10861.77</v>
      </c>
      <c r="I202" s="60">
        <f>IF("generated"=1, "Path=CLM_1, Scaled Offset=10861.770000000000436557456851005554", 10861.77)</f>
        <v>10861.77</v>
      </c>
      <c r="J202" t="s">
        <v>97</v>
      </c>
    </row>
    <row r="203" spans="1:10" x14ac:dyDescent="0.25">
      <c r="A203" s="53" t="s">
        <v>26</v>
      </c>
      <c r="B203">
        <v>11196</v>
      </c>
      <c r="C203" t="s">
        <v>296</v>
      </c>
      <c r="D203" t="s">
        <v>47</v>
      </c>
      <c r="E203" t="s">
        <v>101</v>
      </c>
      <c r="G203" s="37">
        <v>10896.86</v>
      </c>
      <c r="H203" s="37">
        <f t="shared" si="3"/>
        <v>10896.86</v>
      </c>
      <c r="I203" s="60">
        <f>IF("generated"=1, "Path=CLM_1, Scaled Offset=10896.860000000000582076609134674072", 10896.86)</f>
        <v>10896.86</v>
      </c>
      <c r="J203" t="s">
        <v>97</v>
      </c>
    </row>
    <row r="204" spans="1:10" x14ac:dyDescent="0.25">
      <c r="A204" s="53" t="s">
        <v>26</v>
      </c>
      <c r="B204">
        <v>11197</v>
      </c>
      <c r="C204" t="s">
        <v>297</v>
      </c>
      <c r="D204" t="s">
        <v>47</v>
      </c>
      <c r="E204" t="s">
        <v>101</v>
      </c>
      <c r="G204" s="37">
        <v>10899.86</v>
      </c>
      <c r="H204" s="37">
        <f t="shared" si="3"/>
        <v>10899.86</v>
      </c>
      <c r="I204" s="60">
        <f>IF("generated"=1, "Path=CLM_1, Scaled Offset=10899.860000000000582076609134674072", 10899.86)</f>
        <v>10899.86</v>
      </c>
      <c r="J204" t="s">
        <v>97</v>
      </c>
    </row>
    <row r="205" spans="1:10" x14ac:dyDescent="0.25">
      <c r="A205" s="53" t="s">
        <v>26</v>
      </c>
      <c r="B205">
        <v>11198</v>
      </c>
      <c r="C205" t="s">
        <v>298</v>
      </c>
      <c r="D205" t="s">
        <v>47</v>
      </c>
      <c r="E205" t="s">
        <v>101</v>
      </c>
      <c r="G205" s="37">
        <v>10919.79</v>
      </c>
      <c r="H205" s="37">
        <f t="shared" si="3"/>
        <v>10919.79</v>
      </c>
      <c r="I205" s="60">
        <f>IF("generated"=1, "Path=CLM_1, Scaled Offset=10919.790000000000873114913702011108", 10919.79)</f>
        <v>10919.79</v>
      </c>
      <c r="J205" t="s">
        <v>97</v>
      </c>
    </row>
    <row r="206" spans="1:10" x14ac:dyDescent="0.25">
      <c r="A206" s="53" t="s">
        <v>26</v>
      </c>
      <c r="B206">
        <v>11199</v>
      </c>
      <c r="C206" t="s">
        <v>299</v>
      </c>
      <c r="D206" t="s">
        <v>47</v>
      </c>
      <c r="E206" t="s">
        <v>101</v>
      </c>
      <c r="G206" s="37">
        <v>10922.79</v>
      </c>
      <c r="H206" s="37">
        <f t="shared" si="3"/>
        <v>10922.79</v>
      </c>
      <c r="I206" s="60">
        <f>IF("generated"=1, "Path=CLM_1, Scaled Offset=10922.790000000000873114913702011108", 10922.79)</f>
        <v>10922.79</v>
      </c>
      <c r="J206" t="s">
        <v>97</v>
      </c>
    </row>
    <row r="207" spans="1:10" x14ac:dyDescent="0.25">
      <c r="A207" s="53" t="s">
        <v>26</v>
      </c>
      <c r="B207">
        <v>11200</v>
      </c>
      <c r="C207" t="s">
        <v>300</v>
      </c>
      <c r="D207" t="s">
        <v>47</v>
      </c>
      <c r="E207" t="s">
        <v>101</v>
      </c>
      <c r="G207" s="37">
        <v>10975.21</v>
      </c>
      <c r="H207" s="37">
        <f t="shared" si="3"/>
        <v>10975.21</v>
      </c>
      <c r="I207" s="60">
        <f>IF("generated"=1, "Path=CLM_1, Scaled Offset=10975.209999999999126885086297988892", 10975.2099999999)</f>
        <v>10975.209999999901</v>
      </c>
      <c r="J207" t="s">
        <v>97</v>
      </c>
    </row>
    <row r="208" spans="1:10" x14ac:dyDescent="0.25">
      <c r="A208" s="53" t="s">
        <v>26</v>
      </c>
      <c r="B208">
        <v>11201</v>
      </c>
      <c r="C208" t="s">
        <v>301</v>
      </c>
      <c r="D208" t="s">
        <v>47</v>
      </c>
      <c r="E208" t="s">
        <v>101</v>
      </c>
      <c r="G208" s="37">
        <v>11056</v>
      </c>
      <c r="H208" s="37">
        <f t="shared" si="3"/>
        <v>11056</v>
      </c>
      <c r="I208" s="60">
        <f>IF("generated"=1, "Path=CLM_1, Scaled Offset=11056", 11056)</f>
        <v>11056</v>
      </c>
      <c r="J208" t="s">
        <v>97</v>
      </c>
    </row>
    <row r="209" spans="1:10" x14ac:dyDescent="0.25">
      <c r="A209" s="53" t="s">
        <v>26</v>
      </c>
      <c r="B209">
        <v>11202</v>
      </c>
      <c r="C209" t="s">
        <v>302</v>
      </c>
      <c r="D209" t="s">
        <v>47</v>
      </c>
      <c r="E209" t="s">
        <v>101</v>
      </c>
      <c r="G209" s="37">
        <v>11077</v>
      </c>
      <c r="H209" s="37">
        <f t="shared" si="3"/>
        <v>11077</v>
      </c>
      <c r="I209" s="60">
        <f>IF("generated"=1, "Path=CLM_1, Scaled Offset=11077", 11077)</f>
        <v>11077</v>
      </c>
      <c r="J209" t="s">
        <v>97</v>
      </c>
    </row>
    <row r="210" spans="1:10" x14ac:dyDescent="0.25">
      <c r="A210" s="53" t="s">
        <v>26</v>
      </c>
      <c r="B210">
        <v>11203</v>
      </c>
      <c r="C210" t="s">
        <v>303</v>
      </c>
      <c r="D210" t="s">
        <v>47</v>
      </c>
      <c r="E210" t="s">
        <v>101</v>
      </c>
      <c r="G210" s="37">
        <v>11197</v>
      </c>
      <c r="H210" s="37">
        <f t="shared" si="3"/>
        <v>11197</v>
      </c>
      <c r="I210" s="60">
        <f>IF("generated"=1, "Path=CLM_1, Scaled Offset=11197", 11197)</f>
        <v>11197</v>
      </c>
      <c r="J210" t="s">
        <v>97</v>
      </c>
    </row>
    <row r="211" spans="1:10" x14ac:dyDescent="0.25">
      <c r="A211" s="53" t="s">
        <v>26</v>
      </c>
      <c r="B211">
        <v>11204</v>
      </c>
      <c r="C211" t="s">
        <v>304</v>
      </c>
      <c r="D211" t="s">
        <v>47</v>
      </c>
      <c r="E211" t="s">
        <v>101</v>
      </c>
      <c r="G211" s="37">
        <v>11397</v>
      </c>
      <c r="H211" s="37">
        <f t="shared" si="3"/>
        <v>11397</v>
      </c>
      <c r="I211" s="60">
        <f>IF("generated"=1, "Path=CLM_1, Scaled Offset=11397", 11397)</f>
        <v>11397</v>
      </c>
      <c r="J211" t="s">
        <v>97</v>
      </c>
    </row>
    <row r="212" spans="1:10" x14ac:dyDescent="0.25">
      <c r="A212" s="53" t="s">
        <v>26</v>
      </c>
      <c r="B212">
        <v>11205</v>
      </c>
      <c r="C212" t="s">
        <v>305</v>
      </c>
      <c r="D212" t="s">
        <v>47</v>
      </c>
      <c r="E212" t="s">
        <v>101</v>
      </c>
      <c r="G212" s="37">
        <v>11597</v>
      </c>
      <c r="H212" s="37">
        <f t="shared" si="3"/>
        <v>11597</v>
      </c>
      <c r="I212" s="60">
        <f>IF("generated"=1, "Path=CLM_1, Scaled Offset=11597", 11597)</f>
        <v>11597</v>
      </c>
      <c r="J212" t="s">
        <v>97</v>
      </c>
    </row>
    <row r="213" spans="1:10" x14ac:dyDescent="0.25">
      <c r="A213" s="53" t="s">
        <v>26</v>
      </c>
      <c r="B213">
        <v>11206</v>
      </c>
      <c r="C213" t="s">
        <v>306</v>
      </c>
      <c r="D213" t="s">
        <v>47</v>
      </c>
      <c r="E213" t="s">
        <v>101</v>
      </c>
      <c r="G213" s="37">
        <v>11797</v>
      </c>
      <c r="H213" s="37">
        <f t="shared" si="3"/>
        <v>11797</v>
      </c>
      <c r="I213" s="60">
        <f>IF("generated"=1, "Path=CLM_1, Scaled Offset=11797", 11797)</f>
        <v>11797</v>
      </c>
      <c r="J213" t="s">
        <v>97</v>
      </c>
    </row>
    <row r="214" spans="1:10" x14ac:dyDescent="0.25">
      <c r="A214" s="53" t="s">
        <v>26</v>
      </c>
      <c r="B214">
        <v>11207</v>
      </c>
      <c r="C214" t="s">
        <v>307</v>
      </c>
      <c r="D214" t="s">
        <v>47</v>
      </c>
      <c r="E214" t="s">
        <v>101</v>
      </c>
      <c r="G214" s="37">
        <v>11918</v>
      </c>
      <c r="H214" s="37">
        <f t="shared" si="3"/>
        <v>11918</v>
      </c>
      <c r="I214" s="60">
        <f>IF("generated"=1, "Path=CLM_1, Scaled Offset=11918", 11918)</f>
        <v>11918</v>
      </c>
      <c r="J214" t="s">
        <v>97</v>
      </c>
    </row>
    <row r="215" spans="1:10" x14ac:dyDescent="0.25">
      <c r="A215" s="53" t="s">
        <v>26</v>
      </c>
      <c r="B215">
        <v>11208</v>
      </c>
      <c r="C215" t="s">
        <v>308</v>
      </c>
      <c r="D215" t="s">
        <v>47</v>
      </c>
      <c r="E215" t="s">
        <v>101</v>
      </c>
      <c r="G215" s="37">
        <v>12038</v>
      </c>
      <c r="H215" s="37">
        <f t="shared" si="3"/>
        <v>12038</v>
      </c>
      <c r="I215" s="60">
        <f>IF("generated"=1, "Path=CLM_1, Scaled Offset=12038", 12038)</f>
        <v>12038</v>
      </c>
      <c r="J215" t="s">
        <v>97</v>
      </c>
    </row>
    <row r="216" spans="1:10" x14ac:dyDescent="0.25">
      <c r="A216" s="53" t="s">
        <v>26</v>
      </c>
      <c r="B216">
        <v>11209</v>
      </c>
      <c r="C216" t="s">
        <v>309</v>
      </c>
      <c r="D216" t="s">
        <v>47</v>
      </c>
      <c r="E216" t="s">
        <v>101</v>
      </c>
      <c r="G216" s="37">
        <v>12059</v>
      </c>
      <c r="H216" s="37">
        <f t="shared" si="3"/>
        <v>12059</v>
      </c>
      <c r="I216" s="60">
        <f>IF("generated"=1, "Path=CLM_1, Scaled Offset=12059", 12059)</f>
        <v>12059</v>
      </c>
      <c r="J216" t="s">
        <v>97</v>
      </c>
    </row>
    <row r="217" spans="1:10" x14ac:dyDescent="0.25">
      <c r="A217" s="53" t="s">
        <v>26</v>
      </c>
      <c r="B217">
        <v>11210</v>
      </c>
      <c r="C217" t="s">
        <v>310</v>
      </c>
      <c r="D217" t="s">
        <v>47</v>
      </c>
      <c r="E217" t="s">
        <v>101</v>
      </c>
      <c r="G217" s="37">
        <v>12155.34</v>
      </c>
      <c r="H217" s="37">
        <f t="shared" si="3"/>
        <v>12155.34</v>
      </c>
      <c r="I217" s="60">
        <f>IF("generated"=1, "Path=CLM_1, Scaled Offset=12155.340000000000145519152283668518", 12155.34)</f>
        <v>12155.34</v>
      </c>
      <c r="J217" t="s">
        <v>97</v>
      </c>
    </row>
    <row r="218" spans="1:10" x14ac:dyDescent="0.25">
      <c r="A218" s="53" t="s">
        <v>26</v>
      </c>
      <c r="B218">
        <v>11211</v>
      </c>
      <c r="C218" t="s">
        <v>311</v>
      </c>
      <c r="D218" t="s">
        <v>47</v>
      </c>
      <c r="E218" t="s">
        <v>101</v>
      </c>
      <c r="G218" s="37">
        <v>12170.2</v>
      </c>
      <c r="H218" s="37">
        <f t="shared" si="3"/>
        <v>12170.2</v>
      </c>
      <c r="I218" s="60">
        <f>IF("generated"=1, "Path=CLM_1, Scaled Offset=12170.20000000000072759576141834259", 12170.2)</f>
        <v>12170.2</v>
      </c>
      <c r="J218" t="s">
        <v>97</v>
      </c>
    </row>
    <row r="219" spans="1:10" x14ac:dyDescent="0.25">
      <c r="A219" s="53" t="s">
        <v>26</v>
      </c>
      <c r="B219">
        <v>11212</v>
      </c>
      <c r="C219" t="s">
        <v>312</v>
      </c>
      <c r="D219" t="s">
        <v>47</v>
      </c>
      <c r="E219" t="s">
        <v>101</v>
      </c>
      <c r="G219" s="37">
        <v>12173.2</v>
      </c>
      <c r="H219" s="37">
        <f t="shared" si="3"/>
        <v>12173.2</v>
      </c>
      <c r="I219" s="60">
        <f>IF("generated"=1, "Path=CLM_1, Scaled Offset=12173.20000000000072759576141834259", 12173.2)</f>
        <v>12173.2</v>
      </c>
      <c r="J219" t="s">
        <v>97</v>
      </c>
    </row>
    <row r="220" spans="1:10" x14ac:dyDescent="0.25">
      <c r="A220" s="53" t="s">
        <v>26</v>
      </c>
      <c r="B220">
        <v>11213</v>
      </c>
      <c r="C220" t="s">
        <v>313</v>
      </c>
      <c r="D220" t="s">
        <v>47</v>
      </c>
      <c r="E220" t="s">
        <v>101</v>
      </c>
      <c r="G220" s="37">
        <v>12193.12</v>
      </c>
      <c r="H220" s="37">
        <f t="shared" si="3"/>
        <v>12193.12</v>
      </c>
      <c r="I220" s="60">
        <f>IF("generated"=1, "Path=CLM_1, Scaled Offset=12193.120000000000800355337560176849", 12193.12)</f>
        <v>12193.12</v>
      </c>
      <c r="J220" t="s">
        <v>97</v>
      </c>
    </row>
    <row r="221" spans="1:10" x14ac:dyDescent="0.25">
      <c r="A221" s="53" t="s">
        <v>26</v>
      </c>
      <c r="B221">
        <v>11214</v>
      </c>
      <c r="C221" t="s">
        <v>314</v>
      </c>
      <c r="D221" t="s">
        <v>47</v>
      </c>
      <c r="E221" t="s">
        <v>101</v>
      </c>
      <c r="G221" s="37">
        <v>12196.12</v>
      </c>
      <c r="H221" s="37">
        <f t="shared" si="3"/>
        <v>12196.12</v>
      </c>
      <c r="I221" s="60">
        <f>IF("generated"=1, "Path=CLM_1, Scaled Offset=12196.120000000000800355337560176849", 12196.12)</f>
        <v>12196.12</v>
      </c>
      <c r="J221" t="s">
        <v>97</v>
      </c>
    </row>
    <row r="222" spans="1:10" x14ac:dyDescent="0.25">
      <c r="A222" s="53" t="s">
        <v>26</v>
      </c>
      <c r="B222">
        <v>11215</v>
      </c>
      <c r="C222" t="s">
        <v>315</v>
      </c>
      <c r="D222" t="s">
        <v>47</v>
      </c>
      <c r="E222" t="s">
        <v>101</v>
      </c>
      <c r="G222" s="37">
        <v>12254.14</v>
      </c>
      <c r="H222" s="37">
        <f t="shared" si="3"/>
        <v>12254.14</v>
      </c>
      <c r="I222" s="60">
        <f>IF("generated"=1, "Path=CLM_1, Scaled Offset=12254.139999999999417923390865325928", 12254.1399999999)</f>
        <v>12254.139999999899</v>
      </c>
      <c r="J222" t="s">
        <v>97</v>
      </c>
    </row>
    <row r="223" spans="1:10" x14ac:dyDescent="0.25">
      <c r="A223" s="53" t="s">
        <v>26</v>
      </c>
      <c r="B223">
        <v>11216</v>
      </c>
      <c r="C223" t="s">
        <v>316</v>
      </c>
      <c r="D223" t="s">
        <v>47</v>
      </c>
      <c r="E223" t="s">
        <v>101</v>
      </c>
      <c r="G223" s="37">
        <v>12289.24</v>
      </c>
      <c r="H223" s="37">
        <f t="shared" si="3"/>
        <v>12289.24</v>
      </c>
      <c r="I223" s="60">
        <f>IF("generated"=1, "Path=CLM_1, Scaled Offset=12289.239999999999781721271574497223", 12289.2399999999)</f>
        <v>12289.2399999999</v>
      </c>
      <c r="J223" t="s">
        <v>97</v>
      </c>
    </row>
    <row r="224" spans="1:10" x14ac:dyDescent="0.25">
      <c r="A224" s="53" t="s">
        <v>26</v>
      </c>
      <c r="B224">
        <v>11217</v>
      </c>
      <c r="C224" t="s">
        <v>317</v>
      </c>
      <c r="D224" t="s">
        <v>47</v>
      </c>
      <c r="E224" t="s">
        <v>101</v>
      </c>
      <c r="G224" s="37">
        <v>12292.24</v>
      </c>
      <c r="H224" s="37">
        <f t="shared" si="3"/>
        <v>12292.24</v>
      </c>
      <c r="I224" s="60">
        <f>IF("generated"=1, "Path=CLM_1, Scaled Offset=12292.239999999999781721271574497223", 12292.2399999999)</f>
        <v>12292.2399999999</v>
      </c>
      <c r="J224" t="s">
        <v>97</v>
      </c>
    </row>
    <row r="225" spans="1:10" x14ac:dyDescent="0.25">
      <c r="A225" s="53" t="s">
        <v>26</v>
      </c>
      <c r="B225">
        <v>11218</v>
      </c>
      <c r="C225" t="s">
        <v>318</v>
      </c>
      <c r="D225" t="s">
        <v>47</v>
      </c>
      <c r="E225" t="s">
        <v>101</v>
      </c>
      <c r="G225" s="37">
        <v>12312.16</v>
      </c>
      <c r="H225" s="37">
        <f t="shared" si="3"/>
        <v>12312.16</v>
      </c>
      <c r="I225" s="60">
        <f>IF("generated"=1, "Path=CLM_1, Scaled Offset=12312.159999999999854480847716331482", 12312.1599999999)</f>
        <v>12312.1599999999</v>
      </c>
      <c r="J225" t="s">
        <v>97</v>
      </c>
    </row>
    <row r="226" spans="1:10" x14ac:dyDescent="0.25">
      <c r="A226" s="53" t="s">
        <v>26</v>
      </c>
      <c r="B226">
        <v>11219</v>
      </c>
      <c r="C226" t="s">
        <v>319</v>
      </c>
      <c r="D226" t="s">
        <v>47</v>
      </c>
      <c r="E226" t="s">
        <v>101</v>
      </c>
      <c r="G226" s="37">
        <v>12315.16</v>
      </c>
      <c r="H226" s="37">
        <f t="shared" si="3"/>
        <v>12315.16</v>
      </c>
      <c r="I226" s="60">
        <f>IF("generated"=1, "Path=CLM_1, Scaled Offset=12315.159999999999854480847716331482", 12315.1599999999)</f>
        <v>12315.1599999999</v>
      </c>
      <c r="J226" t="s">
        <v>97</v>
      </c>
    </row>
    <row r="227" spans="1:10" x14ac:dyDescent="0.25">
      <c r="A227" s="53" t="s">
        <v>26</v>
      </c>
      <c r="B227">
        <v>11220</v>
      </c>
      <c r="C227" t="s">
        <v>320</v>
      </c>
      <c r="D227" t="s">
        <v>47</v>
      </c>
      <c r="E227" t="s">
        <v>101</v>
      </c>
      <c r="G227" s="37">
        <v>12367.58</v>
      </c>
      <c r="H227" s="37">
        <f t="shared" si="3"/>
        <v>12367.58</v>
      </c>
      <c r="I227" s="60">
        <f>IF("generated"=1, "Path=CLM_1, Scaled Offset=12367.579999999999927240423858165741", 12367.5799999999)</f>
        <v>12367.5799999999</v>
      </c>
      <c r="J227" t="s">
        <v>97</v>
      </c>
    </row>
    <row r="228" spans="1:10" x14ac:dyDescent="0.25">
      <c r="A228" s="53" t="s">
        <v>26</v>
      </c>
      <c r="B228">
        <v>11221</v>
      </c>
      <c r="C228" t="s">
        <v>321</v>
      </c>
      <c r="D228" t="s">
        <v>47</v>
      </c>
      <c r="E228" t="s">
        <v>101</v>
      </c>
      <c r="G228" s="37">
        <v>12447</v>
      </c>
      <c r="H228" s="37">
        <f t="shared" si="3"/>
        <v>12447</v>
      </c>
      <c r="I228" s="60">
        <f>IF("generated"=1, "Path=CLM_1, Scaled Offset=12447", 12447)</f>
        <v>12447</v>
      </c>
      <c r="J228" t="s">
        <v>97</v>
      </c>
    </row>
    <row r="229" spans="1:10" x14ac:dyDescent="0.25">
      <c r="A229" s="53" t="s">
        <v>26</v>
      </c>
      <c r="B229">
        <v>11222</v>
      </c>
      <c r="C229" t="s">
        <v>322</v>
      </c>
      <c r="D229" t="s">
        <v>47</v>
      </c>
      <c r="E229" t="s">
        <v>101</v>
      </c>
      <c r="G229" s="37">
        <v>12468</v>
      </c>
      <c r="H229" s="37">
        <f t="shared" si="3"/>
        <v>12468</v>
      </c>
      <c r="I229" s="60">
        <f>IF("generated"=1, "Path=CLM_1, Scaled Offset=12468", 12468)</f>
        <v>12468</v>
      </c>
      <c r="J229" t="s">
        <v>97</v>
      </c>
    </row>
    <row r="230" spans="1:10" x14ac:dyDescent="0.25">
      <c r="A230" s="53" t="s">
        <v>26</v>
      </c>
      <c r="B230">
        <v>11223</v>
      </c>
      <c r="C230" t="s">
        <v>323</v>
      </c>
      <c r="D230" t="s">
        <v>47</v>
      </c>
      <c r="E230" t="s">
        <v>101</v>
      </c>
      <c r="G230" s="37">
        <v>12588</v>
      </c>
      <c r="H230" s="37">
        <f t="shared" si="3"/>
        <v>12588</v>
      </c>
      <c r="I230" s="60">
        <f>IF("generated"=1, "Path=CLM_1, Scaled Offset=12588", 12588)</f>
        <v>12588</v>
      </c>
      <c r="J230" t="s">
        <v>97</v>
      </c>
    </row>
    <row r="231" spans="1:10" x14ac:dyDescent="0.25">
      <c r="A231" s="53" t="s">
        <v>26</v>
      </c>
      <c r="B231">
        <v>11224</v>
      </c>
      <c r="C231" t="s">
        <v>324</v>
      </c>
      <c r="D231" t="s">
        <v>47</v>
      </c>
      <c r="E231" t="s">
        <v>101</v>
      </c>
      <c r="G231" s="37">
        <v>12788</v>
      </c>
      <c r="H231" s="37">
        <f t="shared" si="3"/>
        <v>12788</v>
      </c>
      <c r="I231" s="60">
        <f>IF("generated"=1, "Path=CLM_1, Scaled Offset=12788", 12788)</f>
        <v>12788</v>
      </c>
      <c r="J231" t="s">
        <v>97</v>
      </c>
    </row>
    <row r="232" spans="1:10" x14ac:dyDescent="0.25">
      <c r="A232" s="53" t="s">
        <v>26</v>
      </c>
      <c r="B232">
        <v>11225</v>
      </c>
      <c r="C232" t="s">
        <v>325</v>
      </c>
      <c r="D232" t="s">
        <v>47</v>
      </c>
      <c r="E232" t="s">
        <v>101</v>
      </c>
      <c r="G232" s="37">
        <v>12923</v>
      </c>
      <c r="H232" s="37">
        <f t="shared" si="3"/>
        <v>12923</v>
      </c>
      <c r="I232" s="60">
        <f>IF("generated"=1, "Path=CLM_1, Scaled Offset=12923", 12923)</f>
        <v>12923</v>
      </c>
      <c r="J232" t="s">
        <v>97</v>
      </c>
    </row>
    <row r="233" spans="1:10" x14ac:dyDescent="0.25">
      <c r="A233" s="53" t="s">
        <v>26</v>
      </c>
      <c r="B233">
        <v>11226</v>
      </c>
      <c r="C233" t="s">
        <v>326</v>
      </c>
      <c r="D233" t="s">
        <v>47</v>
      </c>
      <c r="E233" t="s">
        <v>101</v>
      </c>
      <c r="G233" s="37">
        <v>13116</v>
      </c>
      <c r="H233" s="37">
        <f t="shared" si="3"/>
        <v>13116</v>
      </c>
      <c r="I233" s="60">
        <f>IF("generated"=1, "Path=CLM_1, Scaled Offset=13116", 13116)</f>
        <v>13116</v>
      </c>
      <c r="J233" t="s">
        <v>97</v>
      </c>
    </row>
    <row r="234" spans="1:10" x14ac:dyDescent="0.25">
      <c r="A234" s="53" t="s">
        <v>26</v>
      </c>
      <c r="B234">
        <v>11227</v>
      </c>
      <c r="C234" t="s">
        <v>327</v>
      </c>
      <c r="D234" t="s">
        <v>47</v>
      </c>
      <c r="E234" t="s">
        <v>101</v>
      </c>
      <c r="G234" s="37">
        <v>13236</v>
      </c>
      <c r="H234" s="37">
        <f t="shared" si="3"/>
        <v>13236</v>
      </c>
      <c r="I234" s="60">
        <f>IF("generated"=1, "Path=CLM_1, Scaled Offset=13236", 13236)</f>
        <v>13236</v>
      </c>
      <c r="J234" t="s">
        <v>97</v>
      </c>
    </row>
    <row r="235" spans="1:10" x14ac:dyDescent="0.25">
      <c r="A235" s="53" t="s">
        <v>26</v>
      </c>
      <c r="B235">
        <v>11228</v>
      </c>
      <c r="C235" t="s">
        <v>328</v>
      </c>
      <c r="D235" t="s">
        <v>47</v>
      </c>
      <c r="E235" t="s">
        <v>101</v>
      </c>
      <c r="G235" s="37">
        <v>13257</v>
      </c>
      <c r="H235" s="37">
        <f t="shared" si="3"/>
        <v>13257</v>
      </c>
      <c r="I235" s="60">
        <f>IF("generated"=1, "Path=CLM_1, Scaled Offset=13257", 13257)</f>
        <v>13257</v>
      </c>
      <c r="J235" t="s">
        <v>97</v>
      </c>
    </row>
    <row r="236" spans="1:10" x14ac:dyDescent="0.25">
      <c r="A236" s="53" t="s">
        <v>26</v>
      </c>
      <c r="B236">
        <v>11229</v>
      </c>
      <c r="C236" t="s">
        <v>329</v>
      </c>
      <c r="D236" t="s">
        <v>47</v>
      </c>
      <c r="E236" t="s">
        <v>101</v>
      </c>
      <c r="G236" s="37">
        <v>13353.28</v>
      </c>
      <c r="H236" s="37">
        <f t="shared" si="3"/>
        <v>13353.28</v>
      </c>
      <c r="I236" s="60">
        <f>IF("generated"=1, "Path=CLM_1, Scaled Offset=13353.280000000000654836185276508331", 13353.28)</f>
        <v>13353.28</v>
      </c>
      <c r="J236" t="s">
        <v>97</v>
      </c>
    </row>
    <row r="237" spans="1:10" x14ac:dyDescent="0.25">
      <c r="A237" s="53" t="s">
        <v>26</v>
      </c>
      <c r="B237">
        <v>11230</v>
      </c>
      <c r="C237" t="s">
        <v>330</v>
      </c>
      <c r="D237" t="s">
        <v>47</v>
      </c>
      <c r="E237" t="s">
        <v>101</v>
      </c>
      <c r="G237" s="37">
        <v>13368.14</v>
      </c>
      <c r="H237" s="37">
        <f t="shared" si="3"/>
        <v>13368.14</v>
      </c>
      <c r="I237" s="60">
        <f>IF("generated"=1, "Path=CLM_1, Scaled Offset=13368.139999999999417923390865325928", 13368.1399999999)</f>
        <v>13368.139999999899</v>
      </c>
      <c r="J237" t="s">
        <v>97</v>
      </c>
    </row>
    <row r="238" spans="1:10" x14ac:dyDescent="0.25">
      <c r="A238" s="53" t="s">
        <v>26</v>
      </c>
      <c r="B238">
        <v>11231</v>
      </c>
      <c r="C238" t="s">
        <v>331</v>
      </c>
      <c r="D238" t="s">
        <v>47</v>
      </c>
      <c r="E238" t="s">
        <v>101</v>
      </c>
      <c r="G238" s="37">
        <v>13371.14</v>
      </c>
      <c r="H238" s="37">
        <f t="shared" si="3"/>
        <v>13371.14</v>
      </c>
      <c r="I238" s="60">
        <f>IF("generated"=1, "Path=CLM_1, Scaled Offset=13371.139999999999417923390865325928", 13371.1399999999)</f>
        <v>13371.139999999899</v>
      </c>
      <c r="J238" t="s">
        <v>97</v>
      </c>
    </row>
    <row r="239" spans="1:10" x14ac:dyDescent="0.25">
      <c r="A239" s="53" t="s">
        <v>26</v>
      </c>
      <c r="B239">
        <v>11232</v>
      </c>
      <c r="C239" t="s">
        <v>332</v>
      </c>
      <c r="D239" t="s">
        <v>47</v>
      </c>
      <c r="E239" t="s">
        <v>101</v>
      </c>
      <c r="G239" s="37">
        <v>13391.06</v>
      </c>
      <c r="H239" s="37">
        <f t="shared" si="3"/>
        <v>13391.06</v>
      </c>
      <c r="I239" s="60">
        <f>IF("generated"=1, "Path=CLM_1, Scaled Offset=13391.059999999999490682967007160187", 13391.0599999999)</f>
        <v>13391.059999999899</v>
      </c>
      <c r="J239" t="s">
        <v>97</v>
      </c>
    </row>
    <row r="240" spans="1:10" x14ac:dyDescent="0.25">
      <c r="A240" s="53" t="s">
        <v>26</v>
      </c>
      <c r="B240">
        <v>11233</v>
      </c>
      <c r="C240" t="s">
        <v>333</v>
      </c>
      <c r="D240" t="s">
        <v>47</v>
      </c>
      <c r="E240" t="s">
        <v>101</v>
      </c>
      <c r="G240" s="37">
        <v>13394.06</v>
      </c>
      <c r="H240" s="37">
        <f t="shared" si="3"/>
        <v>13394.06</v>
      </c>
      <c r="I240" s="60">
        <f>IF("generated"=1, "Path=CLM_1, Scaled Offset=13394.059999999999490682967007160187", 13394.0599999999)</f>
        <v>13394.059999999899</v>
      </c>
      <c r="J240" t="s">
        <v>97</v>
      </c>
    </row>
    <row r="241" spans="1:10" x14ac:dyDescent="0.25">
      <c r="A241" s="53" t="s">
        <v>26</v>
      </c>
      <c r="B241">
        <v>11234</v>
      </c>
      <c r="C241" t="s">
        <v>334</v>
      </c>
      <c r="D241" t="s">
        <v>47</v>
      </c>
      <c r="E241" t="s">
        <v>101</v>
      </c>
      <c r="G241" s="37">
        <v>13452.08</v>
      </c>
      <c r="H241" s="37">
        <f t="shared" si="3"/>
        <v>13452.08</v>
      </c>
      <c r="I241" s="60">
        <f>IF("generated"=1, "Path=CLM_1, Scaled Offset=13452.079999999999927240423858165741", 13452.0799999999)</f>
        <v>13452.0799999999</v>
      </c>
      <c r="J241" t="s">
        <v>97</v>
      </c>
    </row>
    <row r="242" spans="1:10" x14ac:dyDescent="0.25">
      <c r="A242" s="53" t="s">
        <v>26</v>
      </c>
      <c r="B242">
        <v>11235</v>
      </c>
      <c r="C242" t="s">
        <v>335</v>
      </c>
      <c r="D242" t="s">
        <v>47</v>
      </c>
      <c r="E242" t="s">
        <v>101</v>
      </c>
      <c r="G242" s="37">
        <v>13487.18</v>
      </c>
      <c r="H242" s="37">
        <f t="shared" si="3"/>
        <v>13487.18</v>
      </c>
      <c r="I242" s="60">
        <f>IF("generated"=1, "Path=CLM_1, Scaled Offset=13487.180000000000291038304567337036", 13487.18)</f>
        <v>13487.18</v>
      </c>
      <c r="J242" t="s">
        <v>97</v>
      </c>
    </row>
    <row r="243" spans="1:10" x14ac:dyDescent="0.25">
      <c r="A243" s="53" t="s">
        <v>26</v>
      </c>
      <c r="B243">
        <v>11236</v>
      </c>
      <c r="C243" t="s">
        <v>336</v>
      </c>
      <c r="D243" t="s">
        <v>47</v>
      </c>
      <c r="E243" t="s">
        <v>101</v>
      </c>
      <c r="G243" s="37">
        <v>13490.18</v>
      </c>
      <c r="H243" s="37">
        <f t="shared" si="3"/>
        <v>13490.18</v>
      </c>
      <c r="I243" s="60">
        <f>IF("generated"=1, "Path=CLM_1, Scaled Offset=13490.180000000000291038304567337036", 13490.18)</f>
        <v>13490.18</v>
      </c>
      <c r="J243" t="s">
        <v>97</v>
      </c>
    </row>
    <row r="244" spans="1:10" x14ac:dyDescent="0.25">
      <c r="A244" s="53" t="s">
        <v>26</v>
      </c>
      <c r="B244">
        <v>11237</v>
      </c>
      <c r="C244" t="s">
        <v>337</v>
      </c>
      <c r="D244" t="s">
        <v>47</v>
      </c>
      <c r="E244" t="s">
        <v>101</v>
      </c>
      <c r="G244" s="37">
        <v>13510.1</v>
      </c>
      <c r="H244" s="37">
        <f t="shared" si="3"/>
        <v>13510.1</v>
      </c>
      <c r="I244" s="60">
        <f>IF("generated"=1, "Path=CLM_1, Scaled Offset=13510.100000000000363797880709171295", 13510.1)</f>
        <v>13510.1</v>
      </c>
      <c r="J244" t="s">
        <v>97</v>
      </c>
    </row>
    <row r="245" spans="1:10" x14ac:dyDescent="0.25">
      <c r="A245" s="53" t="s">
        <v>26</v>
      </c>
      <c r="B245">
        <v>11238</v>
      </c>
      <c r="C245" t="s">
        <v>338</v>
      </c>
      <c r="D245" t="s">
        <v>47</v>
      </c>
      <c r="E245" t="s">
        <v>101</v>
      </c>
      <c r="G245" s="37">
        <v>13513.1</v>
      </c>
      <c r="H245" s="37">
        <f t="shared" si="3"/>
        <v>13513.1</v>
      </c>
      <c r="I245" s="60">
        <f>IF("generated"=1, "Path=CLM_1, Scaled Offset=13513.100000000000363797880709171295", 13513.1)</f>
        <v>13513.1</v>
      </c>
      <c r="J245" t="s">
        <v>97</v>
      </c>
    </row>
    <row r="246" spans="1:10" x14ac:dyDescent="0.25">
      <c r="A246" s="53" t="s">
        <v>26</v>
      </c>
      <c r="B246">
        <v>11239</v>
      </c>
      <c r="C246" t="s">
        <v>339</v>
      </c>
      <c r="D246" t="s">
        <v>47</v>
      </c>
      <c r="E246" t="s">
        <v>101</v>
      </c>
      <c r="G246" s="37">
        <v>13565.52</v>
      </c>
      <c r="H246" s="37">
        <f t="shared" si="3"/>
        <v>13565.52</v>
      </c>
      <c r="I246" s="60">
        <f>IF("generated"=1, "Path=CLM_1, Scaled Offset=13565.520000000000436557456851005554", 13565.52)</f>
        <v>13565.52</v>
      </c>
      <c r="J246" t="s">
        <v>97</v>
      </c>
    </row>
    <row r="247" spans="1:10" x14ac:dyDescent="0.25">
      <c r="A247" s="53" t="s">
        <v>26</v>
      </c>
      <c r="B247">
        <v>11240</v>
      </c>
      <c r="C247" t="s">
        <v>340</v>
      </c>
      <c r="D247" t="s">
        <v>47</v>
      </c>
      <c r="E247" t="s">
        <v>101</v>
      </c>
      <c r="G247" s="37">
        <v>13645</v>
      </c>
      <c r="H247" s="37">
        <f t="shared" si="3"/>
        <v>13645</v>
      </c>
      <c r="I247" s="60">
        <f>IF("generated"=1, "Path=CLM_1, Scaled Offset=13645", 13645)</f>
        <v>13645</v>
      </c>
      <c r="J247" t="s">
        <v>97</v>
      </c>
    </row>
    <row r="248" spans="1:10" x14ac:dyDescent="0.25">
      <c r="A248" s="53" t="s">
        <v>26</v>
      </c>
      <c r="B248">
        <v>11241</v>
      </c>
      <c r="C248" t="s">
        <v>341</v>
      </c>
      <c r="D248" t="s">
        <v>47</v>
      </c>
      <c r="E248" t="s">
        <v>101</v>
      </c>
      <c r="G248" s="37">
        <v>13666</v>
      </c>
      <c r="H248" s="37">
        <f t="shared" si="3"/>
        <v>13666</v>
      </c>
      <c r="I248" s="60">
        <f>IF("generated"=1, "Path=CLM_1, Scaled Offset=13666", 13666)</f>
        <v>13666</v>
      </c>
      <c r="J248" t="s">
        <v>97</v>
      </c>
    </row>
    <row r="249" spans="1:10" x14ac:dyDescent="0.25">
      <c r="A249" s="53" t="s">
        <v>26</v>
      </c>
      <c r="B249">
        <v>11242</v>
      </c>
      <c r="C249" t="s">
        <v>342</v>
      </c>
      <c r="D249" t="s">
        <v>47</v>
      </c>
      <c r="E249" t="s">
        <v>101</v>
      </c>
      <c r="G249" s="37">
        <v>13786</v>
      </c>
      <c r="H249" s="37">
        <f t="shared" si="3"/>
        <v>13786</v>
      </c>
      <c r="I249" s="60">
        <f>IF("generated"=1, "Path=CLM_1, Scaled Offset=13786", 13786)</f>
        <v>13786</v>
      </c>
      <c r="J249" t="s">
        <v>97</v>
      </c>
    </row>
    <row r="250" spans="1:10" x14ac:dyDescent="0.25">
      <c r="A250" s="53" t="s">
        <v>26</v>
      </c>
      <c r="B250">
        <v>11243</v>
      </c>
      <c r="C250" t="s">
        <v>343</v>
      </c>
      <c r="D250" t="s">
        <v>47</v>
      </c>
      <c r="E250" t="s">
        <v>101</v>
      </c>
      <c r="G250" s="37">
        <v>13946</v>
      </c>
      <c r="H250" s="37">
        <f t="shared" si="3"/>
        <v>13946</v>
      </c>
      <c r="I250" s="60">
        <f>IF("generated"=1, "Path=CLM_1, Scaled Offset=13946", 13946)</f>
        <v>13946</v>
      </c>
      <c r="J250" t="s">
        <v>97</v>
      </c>
    </row>
    <row r="251" spans="1:10" x14ac:dyDescent="0.25">
      <c r="A251" s="53" t="s">
        <v>26</v>
      </c>
      <c r="B251">
        <v>11244</v>
      </c>
      <c r="C251" t="s">
        <v>344</v>
      </c>
      <c r="D251" t="s">
        <v>47</v>
      </c>
      <c r="E251" t="s">
        <v>101</v>
      </c>
      <c r="G251" s="37">
        <v>14138</v>
      </c>
      <c r="H251" s="37">
        <f t="shared" si="3"/>
        <v>14138</v>
      </c>
      <c r="I251" s="60">
        <f>IF("generated"=1, "Path=CLM_1, Scaled Offset=14138", 14138)</f>
        <v>14138</v>
      </c>
      <c r="J251" t="s">
        <v>97</v>
      </c>
    </row>
    <row r="252" spans="1:10" x14ac:dyDescent="0.25">
      <c r="A252" s="53" t="s">
        <v>26</v>
      </c>
      <c r="B252">
        <v>11245</v>
      </c>
      <c r="C252" t="s">
        <v>345</v>
      </c>
      <c r="D252" t="s">
        <v>47</v>
      </c>
      <c r="E252" t="s">
        <v>101</v>
      </c>
      <c r="G252" s="37">
        <v>14258</v>
      </c>
      <c r="H252" s="37">
        <f t="shared" si="3"/>
        <v>14258</v>
      </c>
      <c r="I252" s="60">
        <f>IF("generated"=1, "Path=CLM_1, Scaled Offset=14258", 14258)</f>
        <v>14258</v>
      </c>
      <c r="J252" t="s">
        <v>97</v>
      </c>
    </row>
    <row r="253" spans="1:10" x14ac:dyDescent="0.25">
      <c r="A253" s="53" t="s">
        <v>26</v>
      </c>
      <c r="B253">
        <v>11246</v>
      </c>
      <c r="C253" t="s">
        <v>346</v>
      </c>
      <c r="D253" t="s">
        <v>47</v>
      </c>
      <c r="E253" t="s">
        <v>101</v>
      </c>
      <c r="G253" s="37">
        <v>14279</v>
      </c>
      <c r="H253" s="37">
        <f t="shared" si="3"/>
        <v>14279</v>
      </c>
      <c r="I253" s="60">
        <f>IF("generated"=1, "Path=CLM_1, Scaled Offset=14279", 14279)</f>
        <v>14279</v>
      </c>
      <c r="J253" t="s">
        <v>97</v>
      </c>
    </row>
    <row r="254" spans="1:10" x14ac:dyDescent="0.25">
      <c r="A254" s="53" t="s">
        <v>26</v>
      </c>
      <c r="B254">
        <v>11247</v>
      </c>
      <c r="C254" t="s">
        <v>347</v>
      </c>
      <c r="D254" t="s">
        <v>47</v>
      </c>
      <c r="E254" t="s">
        <v>101</v>
      </c>
      <c r="G254" s="37">
        <v>14375.37</v>
      </c>
      <c r="H254" s="37">
        <f t="shared" si="3"/>
        <v>14375.37</v>
      </c>
      <c r="I254" s="60">
        <f>IF("generated"=1, "Path=CLM_1, Scaled Offset=14375.370000000000800355337560176849", 14375.37)</f>
        <v>14375.37</v>
      </c>
      <c r="J254" t="s">
        <v>97</v>
      </c>
    </row>
    <row r="255" spans="1:10" x14ac:dyDescent="0.25">
      <c r="A255" s="53" t="s">
        <v>26</v>
      </c>
      <c r="B255">
        <v>11248</v>
      </c>
      <c r="C255" t="s">
        <v>348</v>
      </c>
      <c r="D255" t="s">
        <v>47</v>
      </c>
      <c r="E255" t="s">
        <v>101</v>
      </c>
      <c r="G255" s="37">
        <v>14390.23</v>
      </c>
      <c r="H255" s="37">
        <f t="shared" si="3"/>
        <v>14390.23</v>
      </c>
      <c r="I255" s="60">
        <f>IF("generated"=1, "Path=CLM_1, Scaled Offset=14390.229999999999563442543148994446", 14390.2299999999)</f>
        <v>14390.2299999999</v>
      </c>
      <c r="J255" t="s">
        <v>97</v>
      </c>
    </row>
    <row r="256" spans="1:10" x14ac:dyDescent="0.25">
      <c r="A256" s="53" t="s">
        <v>26</v>
      </c>
      <c r="B256">
        <v>11249</v>
      </c>
      <c r="C256" t="s">
        <v>349</v>
      </c>
      <c r="D256" t="s">
        <v>47</v>
      </c>
      <c r="E256" t="s">
        <v>101</v>
      </c>
      <c r="G256" s="37">
        <v>14393.23</v>
      </c>
      <c r="H256" s="37">
        <f t="shared" si="3"/>
        <v>14393.23</v>
      </c>
      <c r="I256" s="60">
        <f>IF("generated"=1, "Path=CLM_1, Scaled Offset=14393.229999999999563442543148994446", 14393.2299999999)</f>
        <v>14393.2299999999</v>
      </c>
      <c r="J256" t="s">
        <v>97</v>
      </c>
    </row>
    <row r="257" spans="1:10" x14ac:dyDescent="0.25">
      <c r="A257" s="53" t="s">
        <v>26</v>
      </c>
      <c r="B257">
        <v>11250</v>
      </c>
      <c r="C257" t="s">
        <v>350</v>
      </c>
      <c r="D257" t="s">
        <v>47</v>
      </c>
      <c r="E257" t="s">
        <v>101</v>
      </c>
      <c r="G257" s="37">
        <v>14413.15</v>
      </c>
      <c r="H257" s="37">
        <f t="shared" si="3"/>
        <v>14413.15</v>
      </c>
      <c r="I257" s="60">
        <f>IF("generated"=1, "Path=CLM_1, Scaled Offset=14413.149999999999636202119290828705", 14413.1499999999)</f>
        <v>14413.1499999999</v>
      </c>
      <c r="J257" t="s">
        <v>97</v>
      </c>
    </row>
    <row r="258" spans="1:10" x14ac:dyDescent="0.25">
      <c r="A258" s="53" t="s">
        <v>26</v>
      </c>
      <c r="B258">
        <v>11251</v>
      </c>
      <c r="C258" t="s">
        <v>351</v>
      </c>
      <c r="D258" t="s">
        <v>47</v>
      </c>
      <c r="E258" t="s">
        <v>101</v>
      </c>
      <c r="G258" s="37">
        <v>14416.15</v>
      </c>
      <c r="H258" s="37">
        <f t="shared" si="3"/>
        <v>14416.15</v>
      </c>
      <c r="I258" s="60">
        <f>IF("generated"=1, "Path=CLM_1, Scaled Offset=14416.149999999999636202119290828705", 14416.1499999999)</f>
        <v>14416.1499999999</v>
      </c>
      <c r="J258" t="s">
        <v>97</v>
      </c>
    </row>
    <row r="259" spans="1:10" x14ac:dyDescent="0.25">
      <c r="A259" s="53" t="s">
        <v>26</v>
      </c>
      <c r="B259">
        <v>11252</v>
      </c>
      <c r="C259" t="s">
        <v>352</v>
      </c>
      <c r="D259" t="s">
        <v>47</v>
      </c>
      <c r="E259" t="s">
        <v>101</v>
      </c>
      <c r="G259" s="37">
        <v>14474.17</v>
      </c>
      <c r="H259" s="37">
        <f t="shared" si="3"/>
        <v>14474.17</v>
      </c>
      <c r="I259" s="60">
        <f>IF("generated"=1, "Path=CLM_1, Scaled Offset=14474.170000000000072759576141834259", 14474.17)</f>
        <v>14474.17</v>
      </c>
      <c r="J259" t="s">
        <v>97</v>
      </c>
    </row>
    <row r="260" spans="1:10" x14ac:dyDescent="0.25">
      <c r="A260" s="53" t="s">
        <v>26</v>
      </c>
      <c r="B260">
        <v>11253</v>
      </c>
      <c r="C260" t="s">
        <v>353</v>
      </c>
      <c r="D260" t="s">
        <v>47</v>
      </c>
      <c r="E260" t="s">
        <v>101</v>
      </c>
      <c r="G260" s="37">
        <v>14509.27</v>
      </c>
      <c r="H260" s="37">
        <f t="shared" si="3"/>
        <v>14509.27</v>
      </c>
      <c r="I260" s="60">
        <f>IF("generated"=1, "Path=CLM_1, Scaled Offset=14509.270000000000436557456851005554", 14509.27)</f>
        <v>14509.27</v>
      </c>
      <c r="J260" t="s">
        <v>97</v>
      </c>
    </row>
    <row r="261" spans="1:10" x14ac:dyDescent="0.25">
      <c r="A261" s="53" t="s">
        <v>26</v>
      </c>
      <c r="B261">
        <v>11254</v>
      </c>
      <c r="C261" t="s">
        <v>354</v>
      </c>
      <c r="D261" t="s">
        <v>47</v>
      </c>
      <c r="E261" t="s">
        <v>101</v>
      </c>
      <c r="G261" s="37">
        <v>14512.27</v>
      </c>
      <c r="H261" s="37">
        <f t="shared" si="3"/>
        <v>14512.27</v>
      </c>
      <c r="I261" s="60">
        <f>IF("generated"=1, "Path=CLM_1, Scaled Offset=14512.270000000000436557456851005554", 14512.27)</f>
        <v>14512.27</v>
      </c>
      <c r="J261" t="s">
        <v>97</v>
      </c>
    </row>
    <row r="262" spans="1:10" x14ac:dyDescent="0.25">
      <c r="A262" s="53" t="s">
        <v>26</v>
      </c>
      <c r="B262">
        <v>11255</v>
      </c>
      <c r="C262" t="s">
        <v>355</v>
      </c>
      <c r="D262" t="s">
        <v>47</v>
      </c>
      <c r="E262" t="s">
        <v>101</v>
      </c>
      <c r="G262" s="37">
        <v>14532.19</v>
      </c>
      <c r="H262" s="37">
        <f t="shared" si="3"/>
        <v>14532.19</v>
      </c>
      <c r="I262" s="60">
        <f>IF("generated"=1, "Path=CLM_1, Scaled Offset=14532.190000000000509317032992839813", 14532.19)</f>
        <v>14532.19</v>
      </c>
      <c r="J262" t="s">
        <v>97</v>
      </c>
    </row>
    <row r="263" spans="1:10" x14ac:dyDescent="0.25">
      <c r="A263" s="53" t="s">
        <v>26</v>
      </c>
      <c r="B263">
        <v>11256</v>
      </c>
      <c r="C263" t="s">
        <v>356</v>
      </c>
      <c r="D263" t="s">
        <v>47</v>
      </c>
      <c r="E263" t="s">
        <v>101</v>
      </c>
      <c r="G263" s="37">
        <v>14535.19</v>
      </c>
      <c r="H263" s="37">
        <f t="shared" si="3"/>
        <v>14535.19</v>
      </c>
      <c r="I263" s="60">
        <f>IF("generated"=1, "Path=CLM_1, Scaled Offset=14535.190000000000509317032992839813", 14535.19)</f>
        <v>14535.19</v>
      </c>
      <c r="J263" t="s">
        <v>97</v>
      </c>
    </row>
    <row r="264" spans="1:10" x14ac:dyDescent="0.25">
      <c r="A264" s="53" t="s">
        <v>26</v>
      </c>
      <c r="B264">
        <v>11257</v>
      </c>
      <c r="C264" t="s">
        <v>357</v>
      </c>
      <c r="D264" t="s">
        <v>47</v>
      </c>
      <c r="E264" t="s">
        <v>101</v>
      </c>
      <c r="G264" s="37">
        <v>14587.61</v>
      </c>
      <c r="H264" s="37">
        <f t="shared" si="3"/>
        <v>14587.61</v>
      </c>
      <c r="I264" s="60">
        <f>IF("generated"=1, "Path=CLM_1, Scaled Offset=14587.610000000000582076609134674072", 14587.61)</f>
        <v>14587.61</v>
      </c>
      <c r="J264" t="s">
        <v>97</v>
      </c>
    </row>
    <row r="265" spans="1:10" x14ac:dyDescent="0.25">
      <c r="A265" s="53" t="s">
        <v>26</v>
      </c>
      <c r="B265">
        <v>11258</v>
      </c>
      <c r="C265" t="s">
        <v>358</v>
      </c>
      <c r="D265" t="s">
        <v>47</v>
      </c>
      <c r="E265" t="s">
        <v>101</v>
      </c>
      <c r="G265" s="37">
        <v>14667</v>
      </c>
      <c r="H265" s="37">
        <f t="shared" ref="H265:H328" si="4">G265</f>
        <v>14667</v>
      </c>
      <c r="I265" s="60">
        <f>IF("generated"=1, "Path=CLM_1, Scaled Offset=14667", 14667)</f>
        <v>14667</v>
      </c>
      <c r="J265" t="s">
        <v>97</v>
      </c>
    </row>
    <row r="266" spans="1:10" x14ac:dyDescent="0.25">
      <c r="A266" s="53" t="s">
        <v>26</v>
      </c>
      <c r="B266">
        <v>11259</v>
      </c>
      <c r="C266" t="s">
        <v>359</v>
      </c>
      <c r="D266" t="s">
        <v>47</v>
      </c>
      <c r="E266" t="s">
        <v>101</v>
      </c>
      <c r="G266" s="37">
        <v>14688</v>
      </c>
      <c r="H266" s="37">
        <f t="shared" si="4"/>
        <v>14688</v>
      </c>
      <c r="I266" s="60">
        <f>IF("generated"=1, "Path=CLM_1, Scaled Offset=14688", 14688)</f>
        <v>14688</v>
      </c>
      <c r="J266" t="s">
        <v>97</v>
      </c>
    </row>
    <row r="267" spans="1:10" x14ac:dyDescent="0.25">
      <c r="A267" s="53" t="s">
        <v>26</v>
      </c>
      <c r="B267">
        <v>11260</v>
      </c>
      <c r="C267" t="s">
        <v>360</v>
      </c>
      <c r="D267" t="s">
        <v>47</v>
      </c>
      <c r="E267" t="s">
        <v>101</v>
      </c>
      <c r="G267" s="37">
        <v>14808</v>
      </c>
      <c r="H267" s="37">
        <f t="shared" si="4"/>
        <v>14808</v>
      </c>
      <c r="I267" s="60">
        <f>IF("generated"=1, "Path=CLM_1, Scaled Offset=14808", 14808)</f>
        <v>14808</v>
      </c>
      <c r="J267" t="s">
        <v>97</v>
      </c>
    </row>
    <row r="268" spans="1:10" x14ac:dyDescent="0.25">
      <c r="A268" s="53" t="s">
        <v>26</v>
      </c>
      <c r="B268">
        <v>11261</v>
      </c>
      <c r="C268" t="s">
        <v>361</v>
      </c>
      <c r="D268" t="s">
        <v>47</v>
      </c>
      <c r="E268" t="s">
        <v>101</v>
      </c>
      <c r="G268" s="37">
        <v>14920</v>
      </c>
      <c r="H268" s="37">
        <f t="shared" si="4"/>
        <v>14920</v>
      </c>
      <c r="I268" s="60">
        <f>IF("generated"=1, "Path=CLM_1, Scaled Offset=14920", 14920)</f>
        <v>14920</v>
      </c>
      <c r="J268" t="s">
        <v>97</v>
      </c>
    </row>
    <row r="269" spans="1:10" x14ac:dyDescent="0.25">
      <c r="A269" s="53" t="s">
        <v>26</v>
      </c>
      <c r="B269">
        <v>11262</v>
      </c>
      <c r="C269" t="s">
        <v>362</v>
      </c>
      <c r="D269" t="s">
        <v>47</v>
      </c>
      <c r="E269" t="s">
        <v>101</v>
      </c>
      <c r="G269" s="37">
        <v>15040</v>
      </c>
      <c r="H269" s="37">
        <f t="shared" si="4"/>
        <v>15040</v>
      </c>
      <c r="I269" s="60">
        <f>IF("generated"=1, "Path=CLM_1, Scaled Offset=15040", 15040)</f>
        <v>15040</v>
      </c>
      <c r="J269" t="s">
        <v>97</v>
      </c>
    </row>
    <row r="270" spans="1:10" x14ac:dyDescent="0.25">
      <c r="A270" s="53" t="s">
        <v>26</v>
      </c>
      <c r="B270">
        <v>11263</v>
      </c>
      <c r="C270" t="s">
        <v>363</v>
      </c>
      <c r="D270" t="s">
        <v>47</v>
      </c>
      <c r="E270" t="s">
        <v>101</v>
      </c>
      <c r="G270" s="37">
        <v>15061</v>
      </c>
      <c r="H270" s="37">
        <f t="shared" si="4"/>
        <v>15061</v>
      </c>
      <c r="I270" s="60">
        <f>IF("generated"=1, "Path=CLM_1, Scaled Offset=15061", 15061)</f>
        <v>15061</v>
      </c>
      <c r="J270" t="s">
        <v>97</v>
      </c>
    </row>
    <row r="271" spans="1:10" x14ac:dyDescent="0.25">
      <c r="A271" s="53" t="s">
        <v>26</v>
      </c>
      <c r="B271">
        <v>11264</v>
      </c>
      <c r="C271" t="s">
        <v>364</v>
      </c>
      <c r="D271" t="s">
        <v>47</v>
      </c>
      <c r="E271" t="s">
        <v>101</v>
      </c>
      <c r="G271" s="37">
        <v>15153.41</v>
      </c>
      <c r="H271" s="37">
        <f t="shared" si="4"/>
        <v>15153.41</v>
      </c>
      <c r="I271" s="60">
        <f>IF("generated"=1, "Path=CLM_1, Scaled Offset=15153.409999999999854480847716331482", 15153.4099999999)</f>
        <v>15153.4099999999</v>
      </c>
      <c r="J271" t="s">
        <v>97</v>
      </c>
    </row>
    <row r="272" spans="1:10" x14ac:dyDescent="0.25">
      <c r="A272" s="53" t="s">
        <v>26</v>
      </c>
      <c r="B272">
        <v>11265</v>
      </c>
      <c r="C272" t="s">
        <v>365</v>
      </c>
      <c r="D272" t="s">
        <v>47</v>
      </c>
      <c r="E272" t="s">
        <v>101</v>
      </c>
      <c r="G272" s="37">
        <v>15303.41</v>
      </c>
      <c r="H272" s="37">
        <f t="shared" si="4"/>
        <v>15303.41</v>
      </c>
      <c r="I272" s="60">
        <f>IF("generated"=1, "Path=CLM_1, Scaled Offset=15303.409999999999854480847716331482", 15303.4099999999)</f>
        <v>15303.4099999999</v>
      </c>
      <c r="J272" t="s">
        <v>97</v>
      </c>
    </row>
    <row r="273" spans="1:10" x14ac:dyDescent="0.25">
      <c r="A273" s="53" t="s">
        <v>26</v>
      </c>
      <c r="B273">
        <v>11266</v>
      </c>
      <c r="C273" t="s">
        <v>366</v>
      </c>
      <c r="D273" t="s">
        <v>47</v>
      </c>
      <c r="E273" t="s">
        <v>101</v>
      </c>
      <c r="G273" s="37">
        <v>15379.47</v>
      </c>
      <c r="H273" s="37">
        <f t="shared" si="4"/>
        <v>15379.47</v>
      </c>
      <c r="I273" s="60">
        <f>IF("generated"=1, "Path=CLM_1, Scaled Offset=15379.469999999999345163814723491669", 15379.4699999999)</f>
        <v>15379.469999999899</v>
      </c>
      <c r="J273" t="s">
        <v>97</v>
      </c>
    </row>
    <row r="274" spans="1:10" x14ac:dyDescent="0.25">
      <c r="A274" s="53" t="s">
        <v>26</v>
      </c>
      <c r="B274">
        <v>11267</v>
      </c>
      <c r="C274" t="s">
        <v>367</v>
      </c>
      <c r="D274" t="s">
        <v>47</v>
      </c>
      <c r="E274" t="s">
        <v>101</v>
      </c>
      <c r="G274" s="37">
        <v>15394.33</v>
      </c>
      <c r="H274" s="37">
        <f t="shared" si="4"/>
        <v>15394.33</v>
      </c>
      <c r="I274" s="60">
        <f>IF("generated"=1, "Path=CLM_1, Scaled Offset=15394.329999999999927240423858165741", 15394.3299999999)</f>
        <v>15394.3299999999</v>
      </c>
      <c r="J274" t="s">
        <v>97</v>
      </c>
    </row>
    <row r="275" spans="1:10" x14ac:dyDescent="0.25">
      <c r="A275" s="53" t="s">
        <v>26</v>
      </c>
      <c r="B275">
        <v>11268</v>
      </c>
      <c r="C275" t="s">
        <v>368</v>
      </c>
      <c r="D275" t="s">
        <v>47</v>
      </c>
      <c r="E275" t="s">
        <v>101</v>
      </c>
      <c r="G275" s="37">
        <v>15397.33</v>
      </c>
      <c r="H275" s="37">
        <f t="shared" si="4"/>
        <v>15397.33</v>
      </c>
      <c r="I275" s="60">
        <f>IF("generated"=1, "Path=CLM_1, Scaled Offset=15397.329999999999927240423858165741", 15397.3299999999)</f>
        <v>15397.3299999999</v>
      </c>
      <c r="J275" t="s">
        <v>97</v>
      </c>
    </row>
    <row r="276" spans="1:10" x14ac:dyDescent="0.25">
      <c r="A276" s="53" t="s">
        <v>26</v>
      </c>
      <c r="B276">
        <v>11269</v>
      </c>
      <c r="C276" t="s">
        <v>369</v>
      </c>
      <c r="D276" t="s">
        <v>47</v>
      </c>
      <c r="E276" t="s">
        <v>101</v>
      </c>
      <c r="G276" s="37">
        <v>15417.25</v>
      </c>
      <c r="H276" s="37">
        <f t="shared" si="4"/>
        <v>15417.25</v>
      </c>
      <c r="I276" s="60">
        <f>IF("generated"=1, "Path=CLM_1, Scaled Offset=15417.25", 15417.25)</f>
        <v>15417.25</v>
      </c>
      <c r="J276" t="s">
        <v>97</v>
      </c>
    </row>
    <row r="277" spans="1:10" x14ac:dyDescent="0.25">
      <c r="A277" s="53" t="s">
        <v>26</v>
      </c>
      <c r="B277">
        <v>11270</v>
      </c>
      <c r="C277" t="s">
        <v>370</v>
      </c>
      <c r="D277" t="s">
        <v>47</v>
      </c>
      <c r="E277" t="s">
        <v>101</v>
      </c>
      <c r="G277" s="37">
        <v>15420.25</v>
      </c>
      <c r="H277" s="37">
        <f t="shared" si="4"/>
        <v>15420.25</v>
      </c>
      <c r="I277" s="60">
        <f>IF("generated"=1, "Path=CLM_1, Scaled Offset=15420.25", 15420.25)</f>
        <v>15420.25</v>
      </c>
      <c r="J277" t="s">
        <v>97</v>
      </c>
    </row>
    <row r="278" spans="1:10" x14ac:dyDescent="0.25">
      <c r="A278" s="53" t="s">
        <v>26</v>
      </c>
      <c r="B278">
        <v>11271</v>
      </c>
      <c r="C278" t="s">
        <v>371</v>
      </c>
      <c r="D278" t="s">
        <v>47</v>
      </c>
      <c r="E278" t="s">
        <v>101</v>
      </c>
      <c r="G278" s="37">
        <v>15478.27</v>
      </c>
      <c r="H278" s="37">
        <f t="shared" si="4"/>
        <v>15478.27</v>
      </c>
      <c r="I278" s="60">
        <f>IF("generated"=1, "Path=CLM_1, Scaled Offset=15478.270000000000436557456851005554", 15478.27)</f>
        <v>15478.27</v>
      </c>
      <c r="J278" t="s">
        <v>97</v>
      </c>
    </row>
    <row r="279" spans="1:10" x14ac:dyDescent="0.25">
      <c r="A279" s="53" t="s">
        <v>26</v>
      </c>
      <c r="B279">
        <v>11272</v>
      </c>
      <c r="C279" t="s">
        <v>372</v>
      </c>
      <c r="D279" t="s">
        <v>47</v>
      </c>
      <c r="E279" t="s">
        <v>101</v>
      </c>
      <c r="G279" s="37">
        <v>15513.37</v>
      </c>
      <c r="H279" s="37">
        <f t="shared" si="4"/>
        <v>15513.37</v>
      </c>
      <c r="I279" s="60">
        <f>IF("generated"=1, "Path=CLM_1, Scaled Offset=15513.370000000000800355337560176849", 15513.37)</f>
        <v>15513.37</v>
      </c>
      <c r="J279" t="s">
        <v>97</v>
      </c>
    </row>
    <row r="280" spans="1:10" x14ac:dyDescent="0.25">
      <c r="A280" s="53" t="s">
        <v>26</v>
      </c>
      <c r="B280">
        <v>11273</v>
      </c>
      <c r="C280" t="s">
        <v>373</v>
      </c>
      <c r="D280" t="s">
        <v>47</v>
      </c>
      <c r="E280" t="s">
        <v>101</v>
      </c>
      <c r="G280" s="37">
        <v>15516.37</v>
      </c>
      <c r="H280" s="37">
        <f t="shared" si="4"/>
        <v>15516.37</v>
      </c>
      <c r="I280" s="60">
        <f>IF("generated"=1, "Path=CLM_1, Scaled Offset=15516.370000000000800355337560176849", 15516.37)</f>
        <v>15516.37</v>
      </c>
      <c r="J280" t="s">
        <v>97</v>
      </c>
    </row>
    <row r="281" spans="1:10" x14ac:dyDescent="0.25">
      <c r="A281" s="53" t="s">
        <v>26</v>
      </c>
      <c r="B281">
        <v>11274</v>
      </c>
      <c r="C281" t="s">
        <v>374</v>
      </c>
      <c r="D281" t="s">
        <v>47</v>
      </c>
      <c r="E281" t="s">
        <v>101</v>
      </c>
      <c r="G281" s="37">
        <v>15536.29</v>
      </c>
      <c r="H281" s="37">
        <f t="shared" si="4"/>
        <v>15536.29</v>
      </c>
      <c r="I281" s="60">
        <f>IF("generated"=1, "Path=CLM_1, Scaled Offset=15536.290000000000873114913702011108", 15536.29)</f>
        <v>15536.29</v>
      </c>
      <c r="J281" t="s">
        <v>97</v>
      </c>
    </row>
    <row r="282" spans="1:10" x14ac:dyDescent="0.25">
      <c r="A282" s="53" t="s">
        <v>26</v>
      </c>
      <c r="B282">
        <v>11275</v>
      </c>
      <c r="C282" t="s">
        <v>375</v>
      </c>
      <c r="D282" t="s">
        <v>47</v>
      </c>
      <c r="E282" t="s">
        <v>101</v>
      </c>
      <c r="G282" s="37">
        <v>15539.29</v>
      </c>
      <c r="H282" s="37">
        <f t="shared" si="4"/>
        <v>15539.29</v>
      </c>
      <c r="I282" s="60">
        <f>IF("generated"=1, "Path=CLM_1, Scaled Offset=15539.290000000000873114913702011108", 15539.29)</f>
        <v>15539.29</v>
      </c>
      <c r="J282" t="s">
        <v>97</v>
      </c>
    </row>
    <row r="283" spans="1:10" x14ac:dyDescent="0.25">
      <c r="A283" s="53" t="s">
        <v>26</v>
      </c>
      <c r="B283">
        <v>11276</v>
      </c>
      <c r="C283" t="s">
        <v>376</v>
      </c>
      <c r="D283" t="s">
        <v>47</v>
      </c>
      <c r="E283" t="s">
        <v>101</v>
      </c>
      <c r="G283" s="37">
        <v>15591.71</v>
      </c>
      <c r="H283" s="37">
        <f t="shared" si="4"/>
        <v>15591.71</v>
      </c>
      <c r="I283" s="60">
        <f>IF("generated"=1, "Path=CLM_1, Scaled Offset=15591.709999999999126885086297988892", 15591.7099999999)</f>
        <v>15591.709999999901</v>
      </c>
      <c r="J283" t="s">
        <v>97</v>
      </c>
    </row>
    <row r="284" spans="1:10" x14ac:dyDescent="0.25">
      <c r="A284" s="53" t="s">
        <v>26</v>
      </c>
      <c r="B284">
        <v>11277</v>
      </c>
      <c r="C284" t="s">
        <v>377</v>
      </c>
      <c r="D284" t="s">
        <v>47</v>
      </c>
      <c r="E284" t="s">
        <v>101</v>
      </c>
      <c r="G284" s="37">
        <v>15641.67</v>
      </c>
      <c r="H284" s="37">
        <f t="shared" si="4"/>
        <v>15641.67</v>
      </c>
      <c r="I284" s="60">
        <f>IF("generated"=1, "Path=CLM_1, Scaled Offset=15641.670000000000072759576141834259", 15641.67)</f>
        <v>15641.67</v>
      </c>
      <c r="J284" t="s">
        <v>97</v>
      </c>
    </row>
    <row r="285" spans="1:10" x14ac:dyDescent="0.25">
      <c r="A285" s="53" t="s">
        <v>26</v>
      </c>
      <c r="B285">
        <v>11278</v>
      </c>
      <c r="C285" t="s">
        <v>378</v>
      </c>
      <c r="D285" t="s">
        <v>47</v>
      </c>
      <c r="E285" t="s">
        <v>101</v>
      </c>
      <c r="G285" s="37">
        <v>15791.67</v>
      </c>
      <c r="H285" s="37">
        <f t="shared" si="4"/>
        <v>15791.67</v>
      </c>
      <c r="I285" s="60">
        <f>IF("generated"=1, "Path=CLM_1, Scaled Offset=15791.670000000000072759576141834259", 15791.67)</f>
        <v>15791.67</v>
      </c>
      <c r="J285" t="s">
        <v>97</v>
      </c>
    </row>
    <row r="286" spans="1:10" x14ac:dyDescent="0.25">
      <c r="A286" s="53" t="s">
        <v>26</v>
      </c>
      <c r="B286">
        <v>11279</v>
      </c>
      <c r="C286" t="s">
        <v>379</v>
      </c>
      <c r="D286" t="s">
        <v>47</v>
      </c>
      <c r="E286" t="s">
        <v>101</v>
      </c>
      <c r="G286" s="37">
        <v>15865</v>
      </c>
      <c r="H286" s="37">
        <f t="shared" si="4"/>
        <v>15865</v>
      </c>
      <c r="I286" s="60">
        <f>IF("generated"=1, "Path=CLM_1, Scaled Offset=15865", 15865)</f>
        <v>15865</v>
      </c>
      <c r="J286" t="s">
        <v>97</v>
      </c>
    </row>
    <row r="287" spans="1:10" x14ac:dyDescent="0.25">
      <c r="A287" s="53" t="s">
        <v>26</v>
      </c>
      <c r="B287">
        <v>11280</v>
      </c>
      <c r="C287" t="s">
        <v>380</v>
      </c>
      <c r="D287" t="s">
        <v>47</v>
      </c>
      <c r="E287" t="s">
        <v>101</v>
      </c>
      <c r="G287" s="37">
        <v>15886</v>
      </c>
      <c r="H287" s="37">
        <f t="shared" si="4"/>
        <v>15886</v>
      </c>
      <c r="I287" s="60">
        <f>IF("generated"=1, "Path=CLM_1, Scaled Offset=15886", 15886)</f>
        <v>15886</v>
      </c>
      <c r="J287" t="s">
        <v>97</v>
      </c>
    </row>
    <row r="288" spans="1:10" x14ac:dyDescent="0.25">
      <c r="A288" s="53" t="s">
        <v>26</v>
      </c>
      <c r="B288">
        <v>11281</v>
      </c>
      <c r="C288" t="s">
        <v>381</v>
      </c>
      <c r="D288" t="s">
        <v>47</v>
      </c>
      <c r="E288" t="s">
        <v>101</v>
      </c>
      <c r="G288" s="37">
        <v>15949</v>
      </c>
      <c r="H288" s="37">
        <f t="shared" si="4"/>
        <v>15949</v>
      </c>
      <c r="I288" s="60">
        <f>IF("generated"=1, "Path=CLM_1, Scaled Offset=15949", 15949)</f>
        <v>15949</v>
      </c>
      <c r="J288" t="s">
        <v>97</v>
      </c>
    </row>
    <row r="289" spans="1:10" x14ac:dyDescent="0.25">
      <c r="A289" s="53" t="s">
        <v>26</v>
      </c>
      <c r="B289">
        <v>11282</v>
      </c>
      <c r="C289" t="s">
        <v>382</v>
      </c>
      <c r="D289" t="s">
        <v>47</v>
      </c>
      <c r="E289" t="s">
        <v>101</v>
      </c>
      <c r="G289" s="37">
        <v>16069</v>
      </c>
      <c r="H289" s="37">
        <f t="shared" si="4"/>
        <v>16069</v>
      </c>
      <c r="I289" s="60">
        <f>IF("generated"=1, "Path=CLM_1, Scaled Offset=16069", 16069)</f>
        <v>16069</v>
      </c>
      <c r="J289" t="s">
        <v>97</v>
      </c>
    </row>
    <row r="290" spans="1:10" x14ac:dyDescent="0.25">
      <c r="A290" s="53" t="s">
        <v>26</v>
      </c>
      <c r="B290">
        <v>11283</v>
      </c>
      <c r="C290" t="s">
        <v>383</v>
      </c>
      <c r="D290" t="s">
        <v>47</v>
      </c>
      <c r="E290" t="s">
        <v>101</v>
      </c>
      <c r="G290" s="37">
        <v>16090</v>
      </c>
      <c r="H290" s="37">
        <f t="shared" si="4"/>
        <v>16090</v>
      </c>
      <c r="I290" s="60">
        <f>IF("generated"=1, "Path=CLM_1, Scaled Offset=16090", 16090)</f>
        <v>16090</v>
      </c>
      <c r="J290" t="s">
        <v>97</v>
      </c>
    </row>
    <row r="291" spans="1:10" x14ac:dyDescent="0.25">
      <c r="A291" s="53" t="s">
        <v>26</v>
      </c>
      <c r="B291">
        <v>11284</v>
      </c>
      <c r="C291" t="s">
        <v>384</v>
      </c>
      <c r="D291" t="s">
        <v>47</v>
      </c>
      <c r="E291" t="s">
        <v>101</v>
      </c>
      <c r="G291" s="37">
        <v>16186.52</v>
      </c>
      <c r="H291" s="37">
        <f t="shared" si="4"/>
        <v>16186.52</v>
      </c>
      <c r="I291" s="60">
        <f>IF("generated"=1, "Path=CLM_1, Scaled Offset=16186.520000000000436557456851005554", 16186.52)</f>
        <v>16186.52</v>
      </c>
      <c r="J291" t="s">
        <v>97</v>
      </c>
    </row>
    <row r="292" spans="1:10" x14ac:dyDescent="0.25">
      <c r="A292" s="53" t="s">
        <v>26</v>
      </c>
      <c r="B292">
        <v>11285</v>
      </c>
      <c r="C292" t="s">
        <v>385</v>
      </c>
      <c r="D292" t="s">
        <v>47</v>
      </c>
      <c r="E292" t="s">
        <v>101</v>
      </c>
      <c r="G292" s="37">
        <v>16201.38</v>
      </c>
      <c r="H292" s="37">
        <f t="shared" si="4"/>
        <v>16201.38</v>
      </c>
      <c r="I292" s="60">
        <f>IF("generated"=1, "Path=CLM_1, Scaled Offset=16201.379999999999199644662439823151", 16201.3799999999)</f>
        <v>16201.379999999899</v>
      </c>
      <c r="J292" t="s">
        <v>97</v>
      </c>
    </row>
    <row r="293" spans="1:10" x14ac:dyDescent="0.25">
      <c r="A293" s="53" t="s">
        <v>26</v>
      </c>
      <c r="B293">
        <v>11286</v>
      </c>
      <c r="C293" t="s">
        <v>386</v>
      </c>
      <c r="D293" t="s">
        <v>47</v>
      </c>
      <c r="E293" t="s">
        <v>101</v>
      </c>
      <c r="G293" s="37">
        <v>16204.38</v>
      </c>
      <c r="H293" s="37">
        <f t="shared" si="4"/>
        <v>16204.38</v>
      </c>
      <c r="I293" s="60">
        <f>IF("generated"=1, "Path=CLM_1, Scaled Offset=16204.379999999999199644662439823151", 16204.3799999999)</f>
        <v>16204.379999999899</v>
      </c>
      <c r="J293" t="s">
        <v>97</v>
      </c>
    </row>
    <row r="294" spans="1:10" x14ac:dyDescent="0.25">
      <c r="A294" s="53" t="s">
        <v>26</v>
      </c>
      <c r="B294">
        <v>11287</v>
      </c>
      <c r="C294" t="s">
        <v>387</v>
      </c>
      <c r="D294" t="s">
        <v>47</v>
      </c>
      <c r="E294" t="s">
        <v>101</v>
      </c>
      <c r="G294" s="37">
        <v>16224.3</v>
      </c>
      <c r="H294" s="37">
        <f t="shared" si="4"/>
        <v>16224.3</v>
      </c>
      <c r="I294" s="60">
        <f>IF("generated"=1, "Path=CLM_1, Scaled Offset=16224.29999999999927240423858165741", 16224.2999999999)</f>
        <v>16224.299999999899</v>
      </c>
      <c r="J294" t="s">
        <v>97</v>
      </c>
    </row>
    <row r="295" spans="1:10" x14ac:dyDescent="0.25">
      <c r="A295" s="53" t="s">
        <v>26</v>
      </c>
      <c r="B295">
        <v>11288</v>
      </c>
      <c r="C295" t="s">
        <v>388</v>
      </c>
      <c r="D295" t="s">
        <v>47</v>
      </c>
      <c r="E295" t="s">
        <v>101</v>
      </c>
      <c r="G295" s="37">
        <v>16227.3</v>
      </c>
      <c r="H295" s="37">
        <f t="shared" si="4"/>
        <v>16227.3</v>
      </c>
      <c r="I295" s="60">
        <f>IF("generated"=1, "Path=CLM_1, Scaled Offset=16227.29999999999927240423858165741", 16227.2999999999)</f>
        <v>16227.299999999899</v>
      </c>
      <c r="J295" t="s">
        <v>97</v>
      </c>
    </row>
    <row r="296" spans="1:10" x14ac:dyDescent="0.25">
      <c r="A296" s="53" t="s">
        <v>26</v>
      </c>
      <c r="B296">
        <v>11289</v>
      </c>
      <c r="C296" t="s">
        <v>389</v>
      </c>
      <c r="D296" t="s">
        <v>47</v>
      </c>
      <c r="E296" t="s">
        <v>101</v>
      </c>
      <c r="G296" s="37">
        <v>16285.32</v>
      </c>
      <c r="H296" s="37">
        <f t="shared" si="4"/>
        <v>16285.32</v>
      </c>
      <c r="I296" s="60">
        <f>IF("generated"=1, "Path=CLM_1, Scaled Offset=16285.319999999999708961695432662964", 16285.3199999999)</f>
        <v>16285.3199999999</v>
      </c>
      <c r="J296" t="s">
        <v>97</v>
      </c>
    </row>
    <row r="297" spans="1:10" x14ac:dyDescent="0.25">
      <c r="A297" s="53" t="s">
        <v>26</v>
      </c>
      <c r="B297">
        <v>11290</v>
      </c>
      <c r="C297" t="s">
        <v>390</v>
      </c>
      <c r="D297" t="s">
        <v>47</v>
      </c>
      <c r="E297" t="s">
        <v>101</v>
      </c>
      <c r="G297" s="37">
        <v>16320.42</v>
      </c>
      <c r="H297" s="37">
        <f t="shared" si="4"/>
        <v>16320.42</v>
      </c>
      <c r="I297" s="60">
        <f>IF("generated"=1, "Path=CLM_1, Scaled Offset=16320.420000000000072759576141834259", 16320.42)</f>
        <v>16320.42</v>
      </c>
      <c r="J297" t="s">
        <v>97</v>
      </c>
    </row>
    <row r="298" spans="1:10" x14ac:dyDescent="0.25">
      <c r="A298" s="53" t="s">
        <v>26</v>
      </c>
      <c r="B298">
        <v>11291</v>
      </c>
      <c r="C298" t="s">
        <v>391</v>
      </c>
      <c r="D298" t="s">
        <v>47</v>
      </c>
      <c r="E298" t="s">
        <v>101</v>
      </c>
      <c r="G298" s="37">
        <v>16323.42</v>
      </c>
      <c r="H298" s="37">
        <f t="shared" si="4"/>
        <v>16323.42</v>
      </c>
      <c r="I298" s="60">
        <f>IF("generated"=1, "Path=CLM_1, Scaled Offset=16323.420000000000072759576141834259", 16323.42)</f>
        <v>16323.42</v>
      </c>
      <c r="J298" t="s">
        <v>97</v>
      </c>
    </row>
    <row r="299" spans="1:10" x14ac:dyDescent="0.25">
      <c r="A299" s="53" t="s">
        <v>26</v>
      </c>
      <c r="B299">
        <v>11292</v>
      </c>
      <c r="C299" t="s">
        <v>392</v>
      </c>
      <c r="D299" t="s">
        <v>47</v>
      </c>
      <c r="E299" t="s">
        <v>101</v>
      </c>
      <c r="G299" s="37">
        <v>16343.34</v>
      </c>
      <c r="H299" s="37">
        <f t="shared" si="4"/>
        <v>16343.34</v>
      </c>
      <c r="I299" s="60">
        <f>IF("generated"=1, "Path=CLM_1, Scaled Offset=16343.340000000000145519152283668518", 16343.34)</f>
        <v>16343.34</v>
      </c>
      <c r="J299" t="s">
        <v>97</v>
      </c>
    </row>
    <row r="300" spans="1:10" x14ac:dyDescent="0.25">
      <c r="A300" s="53" t="s">
        <v>26</v>
      </c>
      <c r="B300">
        <v>11293</v>
      </c>
      <c r="C300" t="s">
        <v>393</v>
      </c>
      <c r="D300" t="s">
        <v>47</v>
      </c>
      <c r="E300" t="s">
        <v>101</v>
      </c>
      <c r="G300" s="37">
        <v>16346.34</v>
      </c>
      <c r="H300" s="37">
        <f t="shared" si="4"/>
        <v>16346.34</v>
      </c>
      <c r="I300" s="60">
        <f>IF("generated"=1, "Path=CLM_1, Scaled Offset=16346.340000000000145519152283668518", 16346.34)</f>
        <v>16346.34</v>
      </c>
      <c r="J300" t="s">
        <v>97</v>
      </c>
    </row>
    <row r="301" spans="1:10" x14ac:dyDescent="0.25">
      <c r="A301" s="53" t="s">
        <v>26</v>
      </c>
      <c r="B301">
        <v>11294</v>
      </c>
      <c r="C301" t="s">
        <v>394</v>
      </c>
      <c r="D301" t="s">
        <v>47</v>
      </c>
      <c r="E301" t="s">
        <v>101</v>
      </c>
      <c r="G301" s="37">
        <v>16398.759999999998</v>
      </c>
      <c r="H301" s="37">
        <f t="shared" si="4"/>
        <v>16398.759999999998</v>
      </c>
      <c r="I301" s="60">
        <f>IF("generated"=1, "Path=CLM_1, Scaled Offset=16398.759999999998399289324879646301", 16398.7599999999)</f>
        <v>16398.7599999999</v>
      </c>
      <c r="J301" t="s">
        <v>97</v>
      </c>
    </row>
    <row r="302" spans="1:10" x14ac:dyDescent="0.25">
      <c r="A302" s="53" t="s">
        <v>26</v>
      </c>
      <c r="B302">
        <v>11295</v>
      </c>
      <c r="C302" t="s">
        <v>395</v>
      </c>
      <c r="D302" t="s">
        <v>47</v>
      </c>
      <c r="E302" t="s">
        <v>101</v>
      </c>
      <c r="G302" s="37">
        <v>16478</v>
      </c>
      <c r="H302" s="37">
        <f t="shared" si="4"/>
        <v>16478</v>
      </c>
      <c r="I302" s="60">
        <f>IF("generated"=1, "Path=CLM_1, Scaled Offset=16478", 16478)</f>
        <v>16478</v>
      </c>
      <c r="J302" t="s">
        <v>97</v>
      </c>
    </row>
    <row r="303" spans="1:10" x14ac:dyDescent="0.25">
      <c r="A303" s="53" t="s">
        <v>26</v>
      </c>
      <c r="B303">
        <v>11296</v>
      </c>
      <c r="C303" t="s">
        <v>396</v>
      </c>
      <c r="D303" t="s">
        <v>47</v>
      </c>
      <c r="E303" t="s">
        <v>101</v>
      </c>
      <c r="G303" s="37">
        <v>16499</v>
      </c>
      <c r="H303" s="37">
        <f t="shared" si="4"/>
        <v>16499</v>
      </c>
      <c r="I303" s="60">
        <f>IF("generated"=1, "Path=CLM_1, Scaled Offset=16499", 16499)</f>
        <v>16499</v>
      </c>
      <c r="J303" t="s">
        <v>97</v>
      </c>
    </row>
    <row r="304" spans="1:10" x14ac:dyDescent="0.25">
      <c r="A304" s="53" t="s">
        <v>26</v>
      </c>
      <c r="B304">
        <v>11297</v>
      </c>
      <c r="C304" t="s">
        <v>397</v>
      </c>
      <c r="D304" t="s">
        <v>47</v>
      </c>
      <c r="E304" t="s">
        <v>101</v>
      </c>
      <c r="G304" s="37">
        <v>16619</v>
      </c>
      <c r="H304" s="37">
        <f t="shared" si="4"/>
        <v>16619</v>
      </c>
      <c r="I304" s="60">
        <f>IF("generated"=1, "Path=CLM_1, Scaled Offset=16619", 16619)</f>
        <v>16619</v>
      </c>
      <c r="J304" t="s">
        <v>97</v>
      </c>
    </row>
    <row r="305" spans="1:10" x14ac:dyDescent="0.25">
      <c r="A305" s="53" t="s">
        <v>26</v>
      </c>
      <c r="B305">
        <v>11298</v>
      </c>
      <c r="C305" t="s">
        <v>398</v>
      </c>
      <c r="D305" t="s">
        <v>47</v>
      </c>
      <c r="E305" t="s">
        <v>101</v>
      </c>
      <c r="G305" s="37">
        <v>16762.86</v>
      </c>
      <c r="H305" s="37">
        <f t="shared" si="4"/>
        <v>16762.86</v>
      </c>
      <c r="I305" s="60">
        <f>IF("generated"=1, "Path=CLM_1, Scaled Offset=16762.860000000000582076609134674072", 16762.86)</f>
        <v>16762.86</v>
      </c>
      <c r="J305" t="s">
        <v>97</v>
      </c>
    </row>
    <row r="306" spans="1:10" x14ac:dyDescent="0.25">
      <c r="A306" s="53" t="s">
        <v>26</v>
      </c>
      <c r="B306">
        <v>11299</v>
      </c>
      <c r="C306" t="s">
        <v>399</v>
      </c>
      <c r="D306" t="s">
        <v>47</v>
      </c>
      <c r="E306" t="s">
        <v>101</v>
      </c>
      <c r="G306" s="37">
        <v>16806.439999999999</v>
      </c>
      <c r="H306" s="37">
        <f t="shared" si="4"/>
        <v>16806.439999999999</v>
      </c>
      <c r="I306" s="60">
        <f>IF("generated"=1, "Path=CLM_1, Scaled Offset=16806.439999999998690327629446983337", 16806.4399999999)</f>
        <v>16806.4399999999</v>
      </c>
      <c r="J306" t="s">
        <v>97</v>
      </c>
    </row>
    <row r="307" spans="1:10" x14ac:dyDescent="0.25">
      <c r="A307" s="53" t="s">
        <v>26</v>
      </c>
      <c r="B307">
        <v>11300</v>
      </c>
      <c r="C307" t="s">
        <v>400</v>
      </c>
      <c r="D307" t="s">
        <v>47</v>
      </c>
      <c r="E307" t="s">
        <v>101</v>
      </c>
      <c r="G307" s="37">
        <v>16861.84</v>
      </c>
      <c r="H307" s="37">
        <f t="shared" si="4"/>
        <v>16861.84</v>
      </c>
      <c r="I307" s="60">
        <f>IF("generated"=1, "Path=CLM_1, Scaled Offset=16861.840000000000145519152283668518", 16861.84)</f>
        <v>16861.84</v>
      </c>
      <c r="J307" t="s">
        <v>97</v>
      </c>
    </row>
    <row r="308" spans="1:10" x14ac:dyDescent="0.25">
      <c r="A308" s="53" t="s">
        <v>26</v>
      </c>
      <c r="B308">
        <v>11301</v>
      </c>
      <c r="C308" t="s">
        <v>401</v>
      </c>
      <c r="D308" t="s">
        <v>47</v>
      </c>
      <c r="E308" t="s">
        <v>101</v>
      </c>
      <c r="G308" s="37">
        <v>16948.41</v>
      </c>
      <c r="H308" s="37">
        <f t="shared" si="4"/>
        <v>16948.41</v>
      </c>
      <c r="I308" s="60">
        <f>IF("generated"=1, "Path=CLM_1, Scaled Offset=16948.409999999999854480847716331482", 16948.4099999999)</f>
        <v>16948.409999999902</v>
      </c>
      <c r="J308" t="s">
        <v>97</v>
      </c>
    </row>
    <row r="309" spans="1:10" x14ac:dyDescent="0.25">
      <c r="A309" s="53" t="s">
        <v>26</v>
      </c>
      <c r="B309">
        <v>11302</v>
      </c>
      <c r="C309" t="s">
        <v>402</v>
      </c>
      <c r="D309" t="s">
        <v>47</v>
      </c>
      <c r="E309" t="s">
        <v>101</v>
      </c>
      <c r="G309" s="37">
        <v>17109</v>
      </c>
      <c r="H309" s="37">
        <f t="shared" si="4"/>
        <v>17109</v>
      </c>
      <c r="I309" s="60">
        <f>IF("generated"=1, "Path=CLM_1, Scaled Offset=17109", 17109)</f>
        <v>17109</v>
      </c>
      <c r="J309" t="s">
        <v>97</v>
      </c>
    </row>
    <row r="310" spans="1:10" x14ac:dyDescent="0.25">
      <c r="A310" s="53" t="s">
        <v>26</v>
      </c>
      <c r="B310">
        <v>11303</v>
      </c>
      <c r="C310" t="s">
        <v>403</v>
      </c>
      <c r="D310" t="s">
        <v>47</v>
      </c>
      <c r="E310" t="s">
        <v>101</v>
      </c>
      <c r="G310" s="37">
        <v>17229</v>
      </c>
      <c r="H310" s="37">
        <f t="shared" si="4"/>
        <v>17229</v>
      </c>
      <c r="I310" s="60">
        <f>IF("generated"=1, "Path=CLM_1, Scaled Offset=17229", 17229)</f>
        <v>17229</v>
      </c>
      <c r="J310" t="s">
        <v>97</v>
      </c>
    </row>
    <row r="311" spans="1:10" x14ac:dyDescent="0.25">
      <c r="A311" s="53" t="s">
        <v>26</v>
      </c>
      <c r="B311">
        <v>11304</v>
      </c>
      <c r="C311" t="s">
        <v>404</v>
      </c>
      <c r="D311" t="s">
        <v>47</v>
      </c>
      <c r="E311" t="s">
        <v>101</v>
      </c>
      <c r="G311" s="37">
        <v>17250</v>
      </c>
      <c r="H311" s="37">
        <f t="shared" si="4"/>
        <v>17250</v>
      </c>
      <c r="I311" s="60">
        <f>IF("generated"=1, "Path=CLM_1, Scaled Offset=17250", 17250)</f>
        <v>17250</v>
      </c>
      <c r="J311" t="s">
        <v>97</v>
      </c>
    </row>
    <row r="312" spans="1:10" x14ac:dyDescent="0.25">
      <c r="A312" s="53" t="s">
        <v>26</v>
      </c>
      <c r="B312">
        <v>11305</v>
      </c>
      <c r="C312" t="s">
        <v>405</v>
      </c>
      <c r="D312" t="s">
        <v>47</v>
      </c>
      <c r="E312" t="s">
        <v>101</v>
      </c>
      <c r="G312" s="37">
        <v>17402.349999999999</v>
      </c>
      <c r="H312" s="37">
        <f t="shared" si="4"/>
        <v>17402.349999999999</v>
      </c>
      <c r="I312" s="60">
        <f>IF("generated"=1, "Path=CLM_1, Scaled Offset=17402.349999999998544808477163314819", 17402.3499999999)</f>
        <v>17402.3499999999</v>
      </c>
      <c r="J312" t="s">
        <v>97</v>
      </c>
    </row>
    <row r="313" spans="1:10" x14ac:dyDescent="0.25">
      <c r="A313" s="53" t="s">
        <v>26</v>
      </c>
      <c r="B313">
        <v>11306</v>
      </c>
      <c r="C313" t="s">
        <v>406</v>
      </c>
      <c r="D313" t="s">
        <v>47</v>
      </c>
      <c r="E313" t="s">
        <v>101</v>
      </c>
      <c r="G313" s="37">
        <v>17478.41</v>
      </c>
      <c r="H313" s="37">
        <f t="shared" si="4"/>
        <v>17478.41</v>
      </c>
      <c r="I313" s="60">
        <f>IF("generated"=1, "Path=CLM_1, Scaled Offset=17478.409999999999854480847716331482", 17478.4099999999)</f>
        <v>17478.409999999902</v>
      </c>
      <c r="J313" t="s">
        <v>97</v>
      </c>
    </row>
    <row r="314" spans="1:10" x14ac:dyDescent="0.25">
      <c r="A314" s="53" t="s">
        <v>26</v>
      </c>
      <c r="B314">
        <v>11307</v>
      </c>
      <c r="C314" t="s">
        <v>407</v>
      </c>
      <c r="D314" t="s">
        <v>47</v>
      </c>
      <c r="E314" t="s">
        <v>101</v>
      </c>
      <c r="G314" s="37">
        <v>17493.27</v>
      </c>
      <c r="H314" s="37">
        <f t="shared" si="4"/>
        <v>17493.27</v>
      </c>
      <c r="I314" s="60">
        <f>IF("generated"=1, "Path=CLM_1, Scaled Offset=17493.270000000000436557456851005554", 17493.27)</f>
        <v>17493.27</v>
      </c>
      <c r="J314" t="s">
        <v>97</v>
      </c>
    </row>
    <row r="315" spans="1:10" x14ac:dyDescent="0.25">
      <c r="A315" s="53" t="s">
        <v>26</v>
      </c>
      <c r="B315">
        <v>11308</v>
      </c>
      <c r="C315" t="s">
        <v>408</v>
      </c>
      <c r="D315" t="s">
        <v>47</v>
      </c>
      <c r="E315" t="s">
        <v>101</v>
      </c>
      <c r="G315" s="37">
        <v>17496.27</v>
      </c>
      <c r="H315" s="37">
        <f t="shared" si="4"/>
        <v>17496.27</v>
      </c>
      <c r="I315" s="60">
        <f>IF("generated"=1, "Path=CLM_1, Scaled Offset=17496.270000000000436557456851005554", 17496.27)</f>
        <v>17496.27</v>
      </c>
      <c r="J315" t="s">
        <v>97</v>
      </c>
    </row>
    <row r="316" spans="1:10" x14ac:dyDescent="0.25">
      <c r="A316" s="53" t="s">
        <v>26</v>
      </c>
      <c r="B316">
        <v>11309</v>
      </c>
      <c r="C316" t="s">
        <v>409</v>
      </c>
      <c r="D316" t="s">
        <v>47</v>
      </c>
      <c r="E316" t="s">
        <v>101</v>
      </c>
      <c r="G316" s="37">
        <v>17516.189999999999</v>
      </c>
      <c r="H316" s="37">
        <f t="shared" si="4"/>
        <v>17516.189999999999</v>
      </c>
      <c r="I316" s="60">
        <f>IF("generated"=1, "Path=CLM_1, Scaled Offset=17516.189999999998690327629446983337", 17516.1899999999)</f>
        <v>17516.1899999999</v>
      </c>
      <c r="J316" t="s">
        <v>97</v>
      </c>
    </row>
    <row r="317" spans="1:10" x14ac:dyDescent="0.25">
      <c r="A317" s="53" t="s">
        <v>26</v>
      </c>
      <c r="B317">
        <v>11310</v>
      </c>
      <c r="C317" t="s">
        <v>410</v>
      </c>
      <c r="D317" t="s">
        <v>47</v>
      </c>
      <c r="E317" t="s">
        <v>101</v>
      </c>
      <c r="G317" s="37">
        <v>17519.189999999999</v>
      </c>
      <c r="H317" s="37">
        <f t="shared" si="4"/>
        <v>17519.189999999999</v>
      </c>
      <c r="I317" s="60">
        <f>IF("generated"=1, "Path=CLM_1, Scaled Offset=17519.189999999998690327629446983337", 17519.1899999999)</f>
        <v>17519.1899999999</v>
      </c>
      <c r="J317" t="s">
        <v>97</v>
      </c>
    </row>
    <row r="318" spans="1:10" x14ac:dyDescent="0.25">
      <c r="A318" s="53" t="s">
        <v>26</v>
      </c>
      <c r="B318">
        <v>11311</v>
      </c>
      <c r="C318" t="s">
        <v>411</v>
      </c>
      <c r="D318" t="s">
        <v>47</v>
      </c>
      <c r="E318" t="s">
        <v>101</v>
      </c>
      <c r="G318" s="37">
        <v>17577.21</v>
      </c>
      <c r="H318" s="37">
        <f t="shared" si="4"/>
        <v>17577.21</v>
      </c>
      <c r="I318" s="60">
        <f>IF("generated"=1, "Path=CLM_1, Scaled Offset=17577.209999999999126885086297988892", 17577.2099999999)</f>
        <v>17577.209999999901</v>
      </c>
      <c r="J318" t="s">
        <v>97</v>
      </c>
    </row>
    <row r="319" spans="1:10" x14ac:dyDescent="0.25">
      <c r="A319" s="53" t="s">
        <v>26</v>
      </c>
      <c r="B319">
        <v>11312</v>
      </c>
      <c r="C319" t="s">
        <v>412</v>
      </c>
      <c r="D319" t="s">
        <v>47</v>
      </c>
      <c r="E319" t="s">
        <v>101</v>
      </c>
      <c r="G319" s="37">
        <v>17612.310000000001</v>
      </c>
      <c r="H319" s="37">
        <f t="shared" si="4"/>
        <v>17612.310000000001</v>
      </c>
      <c r="I319" s="60">
        <f>IF("generated"=1, "Path=CLM_1, Scaled Offset=17612.310000000001309672370553016663", 17612.31)</f>
        <v>17612.310000000001</v>
      </c>
      <c r="J319" t="s">
        <v>97</v>
      </c>
    </row>
    <row r="320" spans="1:10" x14ac:dyDescent="0.25">
      <c r="A320" s="53" t="s">
        <v>26</v>
      </c>
      <c r="B320">
        <v>11313</v>
      </c>
      <c r="C320" t="s">
        <v>413</v>
      </c>
      <c r="D320" t="s">
        <v>47</v>
      </c>
      <c r="E320" t="s">
        <v>101</v>
      </c>
      <c r="G320" s="37">
        <v>17615.310000000001</v>
      </c>
      <c r="H320" s="37">
        <f t="shared" si="4"/>
        <v>17615.310000000001</v>
      </c>
      <c r="I320" s="60">
        <f>IF("generated"=1, "Path=CLM_1, Scaled Offset=17615.310000000001309672370553016663", 17615.31)</f>
        <v>17615.310000000001</v>
      </c>
      <c r="J320" t="s">
        <v>97</v>
      </c>
    </row>
    <row r="321" spans="1:10" x14ac:dyDescent="0.25">
      <c r="A321" s="53" t="s">
        <v>26</v>
      </c>
      <c r="B321">
        <v>11314</v>
      </c>
      <c r="C321" t="s">
        <v>414</v>
      </c>
      <c r="D321" t="s">
        <v>47</v>
      </c>
      <c r="E321" t="s">
        <v>101</v>
      </c>
      <c r="G321" s="37">
        <v>17635.23</v>
      </c>
      <c r="H321" s="37">
        <f t="shared" si="4"/>
        <v>17635.23</v>
      </c>
      <c r="I321" s="60">
        <f>IF("generated"=1, "Path=CLM_1, Scaled Offset=17635.229999999999563442543148994446", 17635.2299999999)</f>
        <v>17635.229999999901</v>
      </c>
      <c r="J321" t="s">
        <v>97</v>
      </c>
    </row>
    <row r="322" spans="1:10" x14ac:dyDescent="0.25">
      <c r="A322" s="53" t="s">
        <v>26</v>
      </c>
      <c r="B322">
        <v>11315</v>
      </c>
      <c r="C322" t="s">
        <v>415</v>
      </c>
      <c r="D322" t="s">
        <v>47</v>
      </c>
      <c r="E322" t="s">
        <v>101</v>
      </c>
      <c r="G322" s="37">
        <v>17638.23</v>
      </c>
      <c r="H322" s="37">
        <f t="shared" si="4"/>
        <v>17638.23</v>
      </c>
      <c r="I322" s="60">
        <f>IF("generated"=1, "Path=CLM_1, Scaled Offset=17638.229999999999563442543148994446", 17638.2299999999)</f>
        <v>17638.229999999901</v>
      </c>
      <c r="J322" t="s">
        <v>97</v>
      </c>
    </row>
    <row r="323" spans="1:10" x14ac:dyDescent="0.25">
      <c r="A323" s="53" t="s">
        <v>26</v>
      </c>
      <c r="B323">
        <v>11316</v>
      </c>
      <c r="C323" t="s">
        <v>416</v>
      </c>
      <c r="D323" t="s">
        <v>47</v>
      </c>
      <c r="E323" t="s">
        <v>101</v>
      </c>
      <c r="G323" s="37">
        <v>17690.650000000001</v>
      </c>
      <c r="H323" s="37">
        <f t="shared" si="4"/>
        <v>17690.650000000001</v>
      </c>
      <c r="I323" s="60">
        <f>IF("generated"=1, "Path=CLM_1, Scaled Offset=17690.650000000001455191522836685181", 17690.65)</f>
        <v>17690.650000000001</v>
      </c>
      <c r="J323" t="s">
        <v>97</v>
      </c>
    </row>
    <row r="324" spans="1:10" x14ac:dyDescent="0.25">
      <c r="A324" s="53" t="s">
        <v>26</v>
      </c>
      <c r="B324">
        <v>11317</v>
      </c>
      <c r="C324" t="s">
        <v>417</v>
      </c>
      <c r="D324" t="s">
        <v>47</v>
      </c>
      <c r="E324" t="s">
        <v>101</v>
      </c>
      <c r="G324" s="37">
        <v>17740.61</v>
      </c>
      <c r="H324" s="37">
        <f t="shared" si="4"/>
        <v>17740.61</v>
      </c>
      <c r="I324" s="60">
        <f>IF("generated"=1, "Path=CLM_1, Scaled Offset=17740.610000000000582076609134674072", 17740.61)</f>
        <v>17740.61</v>
      </c>
      <c r="J324" t="s">
        <v>97</v>
      </c>
    </row>
    <row r="325" spans="1:10" x14ac:dyDescent="0.25">
      <c r="A325" s="53" t="s">
        <v>26</v>
      </c>
      <c r="B325">
        <v>11318</v>
      </c>
      <c r="C325" t="s">
        <v>418</v>
      </c>
      <c r="D325" t="s">
        <v>47</v>
      </c>
      <c r="E325" t="s">
        <v>101</v>
      </c>
      <c r="G325" s="37">
        <v>17827</v>
      </c>
      <c r="H325" s="37">
        <f t="shared" si="4"/>
        <v>17827</v>
      </c>
      <c r="I325" s="60">
        <f>IF("generated"=1, "Path=CLM_1, Scaled Offset=17827", 17827)</f>
        <v>17827</v>
      </c>
      <c r="J325" t="s">
        <v>97</v>
      </c>
    </row>
    <row r="326" spans="1:10" x14ac:dyDescent="0.25">
      <c r="A326" s="53" t="s">
        <v>26</v>
      </c>
      <c r="B326">
        <v>11319</v>
      </c>
      <c r="C326" t="s">
        <v>419</v>
      </c>
      <c r="D326" t="s">
        <v>47</v>
      </c>
      <c r="E326" t="s">
        <v>101</v>
      </c>
      <c r="G326" s="37">
        <v>17848</v>
      </c>
      <c r="H326" s="37">
        <f t="shared" si="4"/>
        <v>17848</v>
      </c>
      <c r="I326" s="60">
        <f>IF("generated"=1, "Path=CLM_1, Scaled Offset=17848", 17848)</f>
        <v>17848</v>
      </c>
      <c r="J326" t="s">
        <v>97</v>
      </c>
    </row>
    <row r="327" spans="1:10" x14ac:dyDescent="0.25">
      <c r="A327" s="53" t="s">
        <v>26</v>
      </c>
      <c r="B327">
        <v>11320</v>
      </c>
      <c r="C327" t="s">
        <v>420</v>
      </c>
      <c r="D327" t="s">
        <v>47</v>
      </c>
      <c r="E327" t="s">
        <v>101</v>
      </c>
      <c r="G327" s="37">
        <v>17869</v>
      </c>
      <c r="H327" s="37">
        <f t="shared" si="4"/>
        <v>17869</v>
      </c>
      <c r="I327" s="60">
        <f>IF("generated"=1, "Path=CLM_1, Scaled Offset=17869", 17869)</f>
        <v>17869</v>
      </c>
      <c r="J327" t="s">
        <v>97</v>
      </c>
    </row>
    <row r="328" spans="1:10" x14ac:dyDescent="0.25">
      <c r="A328" s="53" t="s">
        <v>26</v>
      </c>
      <c r="B328">
        <v>11321</v>
      </c>
      <c r="C328" t="s">
        <v>421</v>
      </c>
      <c r="D328" t="s">
        <v>47</v>
      </c>
      <c r="E328" t="s">
        <v>101</v>
      </c>
      <c r="G328" s="37">
        <v>17998.080000000002</v>
      </c>
      <c r="H328" s="37">
        <f t="shared" si="4"/>
        <v>17998.080000000002</v>
      </c>
      <c r="I328" s="60">
        <f>IF("generated"=1, "Path=CLM_1, Scaled Offset=17998.080000000001746229827404022217", 17998.08)</f>
        <v>17998.080000000002</v>
      </c>
      <c r="J328" t="s">
        <v>97</v>
      </c>
    </row>
    <row r="329" spans="1:10" x14ac:dyDescent="0.25">
      <c r="A329" s="53" t="s">
        <v>26</v>
      </c>
      <c r="B329">
        <v>11322</v>
      </c>
      <c r="C329" t="s">
        <v>422</v>
      </c>
      <c r="D329" t="s">
        <v>47</v>
      </c>
      <c r="E329" t="s">
        <v>101</v>
      </c>
      <c r="G329" s="37">
        <v>18061.73</v>
      </c>
      <c r="H329" s="37">
        <f t="shared" ref="H329:H331" si="5">G329</f>
        <v>18061.73</v>
      </c>
      <c r="I329" s="60">
        <f>IF("generated"=1, "Path=CLM_1, Scaled Offset=18061.729999999999563442543148994446", 18061.7299999999)</f>
        <v>18061.729999999901</v>
      </c>
      <c r="J329" t="s">
        <v>97</v>
      </c>
    </row>
    <row r="330" spans="1:10" x14ac:dyDescent="0.25">
      <c r="A330" s="53" t="s">
        <v>26</v>
      </c>
      <c r="B330">
        <v>11323</v>
      </c>
      <c r="C330" t="s">
        <v>423</v>
      </c>
      <c r="D330" t="s">
        <v>47</v>
      </c>
      <c r="E330" t="s">
        <v>101</v>
      </c>
      <c r="G330" s="37">
        <v>18107.57</v>
      </c>
      <c r="H330" s="37">
        <f t="shared" si="5"/>
        <v>18107.57</v>
      </c>
      <c r="I330" s="60">
        <f>IF("generated"=1, "Path=CLM_1, Scaled Offset=18107.569999999999708961695432662964", 18107.5699999999)</f>
        <v>18107.569999999901</v>
      </c>
      <c r="J330" t="s">
        <v>97</v>
      </c>
    </row>
    <row r="331" spans="1:10" x14ac:dyDescent="0.25">
      <c r="A331" s="53" t="s">
        <v>26</v>
      </c>
      <c r="B331">
        <v>11324</v>
      </c>
      <c r="C331" t="s">
        <v>424</v>
      </c>
      <c r="D331" t="s">
        <v>47</v>
      </c>
      <c r="E331" t="s">
        <v>101</v>
      </c>
      <c r="G331" s="37">
        <v>18171.21</v>
      </c>
      <c r="H331" s="37">
        <f t="shared" si="5"/>
        <v>18171.21</v>
      </c>
      <c r="I331" s="60">
        <f>IF("generated"=1, "Path=CLM_1, Scaled Offset=18171.209999999999126885086297988892", 18171.2099999999)</f>
        <v>18171.209999999901</v>
      </c>
      <c r="J331" t="s">
        <v>97</v>
      </c>
    </row>
    <row r="332" spans="1:10" x14ac:dyDescent="0.25">
      <c r="A332" s="53" t="s">
        <v>26</v>
      </c>
      <c r="B332">
        <v>11325</v>
      </c>
      <c r="C332" t="s">
        <v>427</v>
      </c>
      <c r="D332" t="s">
        <v>426</v>
      </c>
      <c r="E332" t="s">
        <v>101</v>
      </c>
      <c r="G332" s="37">
        <v>18234.849999999999</v>
      </c>
      <c r="H332" s="37">
        <f t="shared" ref="H332" si="6">G332</f>
        <v>18234.849999999999</v>
      </c>
      <c r="I332" s="60">
        <f>IF("generated"=1, "Path=CLM_1, Scaled Offset=18234.849999999998544808477163314819", 18234.8499999999)</f>
        <v>18234.8499999999</v>
      </c>
      <c r="J332" t="s">
        <v>97</v>
      </c>
    </row>
  </sheetData>
  <conditionalFormatting sqref="C1:C6 C9:C1048576">
    <cfRule type="duplicateValues" dxfId="1" priority="6"/>
  </conditionalFormatting>
  <conditionalFormatting sqref="E2:E1048576">
    <cfRule type="cellIs" dxfId="0" priority="7" operator="equal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C099F4-AC1A-4024-B969-9720632C88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Track Title</vt:lpstr>
      <vt:lpstr>FEATURE_RULES</vt:lpstr>
      <vt:lpstr>Feature Query</vt:lpstr>
      <vt:lpstr>Errors</vt:lpstr>
      <vt:lpstr>Query</vt:lpstr>
      <vt:lpstr>Test_Features</vt:lpstr>
      <vt:lpstr>CBTC Beacons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 Andy</dc:creator>
  <cp:lastModifiedBy>KANADE Yogesh</cp:lastModifiedBy>
  <cp:lastPrinted>2021-01-18T07:07:02Z</cp:lastPrinted>
  <dcterms:created xsi:type="dcterms:W3CDTF">2015-10-23T04:54:56Z</dcterms:created>
  <dcterms:modified xsi:type="dcterms:W3CDTF">2023-05-19T06:16:13Z</dcterms:modified>
</cp:coreProperties>
</file>